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Настройки" sheetId="2" state="visible" r:id="rId4"/>
    <sheet name="Дневник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ПМ в базе. Сменили ПМ: все веса в дневнике пересчитаются.</t>
        </r>
      </text>
    </comment>
    <comment ref="B7" authorId="0">
      <text>
        <r>
          <rPr>
            <sz val="10"/>
            <rFont val="Arial"/>
            <family val="2"/>
          </rPr>
          <t xml:space="preserve">Калькулятор Микаела: от 1% до 6%, по умолчанию 4%.</t>
        </r>
      </text>
    </comment>
  </commentList>
</comments>
</file>

<file path=xl/sharedStrings.xml><?xml version="1.0" encoding="utf-8"?>
<sst xmlns="http://schemas.openxmlformats.org/spreadsheetml/2006/main" count="117" uniqueCount="106">
  <si>
    <t xml:space="preserve">Цикл базы с поправкой на состояние</t>
  </si>
  <si>
    <t xml:space="preserve">Что делает таблица</t>
  </si>
  <si>
    <t xml:space="preserve">По опросу перед тренировкой считает снижение в процентных пунктах от ПМ, решает: по плану, снижение, Т на С с низкими процентами, лёгкий день или пропуск. Считает рабочий вес на сегодня и сдвигает дальнейший цикл: день с поправкой в следующем микроцикле повторяется без прибавки.</t>
  </si>
  <si>
    <t xml:space="preserve">Что заполнять (жёлтые ячейки)</t>
  </si>
  <si>
    <t xml:space="preserve">1. Лист "Настройки": клиент, ПМ, шаг округления, скорость прогрессии, тип микроцикла. Правила поправки тоже там, их можно менять.</t>
  </si>
  <si>
    <t xml:space="preserve">2. Лист "Дневник", перед тренировкой: дата, сон в часах, стресс, крепатура, энергия (1-5, где 5 отлично), инфекция с температурой да/нет, боль в груди или давление или острая боль да/нет.</t>
  </si>
  <si>
    <t xml:space="preserve">3. После тренировки: фактический вес, повторы и запас повторов в главном рабочем подходе. Таблица посчитает расчётный ПМ и подскажет, когда его обновить.</t>
  </si>
  <si>
    <t xml:space="preserve">Опрос для клиента (отправить в бот перед тренировкой)</t>
  </si>
  <si>
    <t xml:space="preserve">Сколько часов спал? Стресс от 1 до 5 (5 = спокоен)? Крепатура в мышцах, которые сегодня работают, от 1 до 5 (5 = нет)? Энергия от 1 до 5 (5 = полно сил)? Есть инфекция с температурой? Есть боль в груди, скачет давление или острая боль в суставе?</t>
  </si>
  <si>
    <t xml:space="preserve">Правила</t>
  </si>
  <si>
    <t xml:space="preserve">Инфекция с температурой: тренировки нет (решение Микаела). Боль в груди, давление, острая боль: тренировки нет, решает Микаел. Снижение не больше максимума с листа "Настройки". База не меньше 4 рабочих подходов.</t>
  </si>
  <si>
    <t xml:space="preserve">Сигналы</t>
  </si>
  <si>
    <t xml:space="preserve">"Две поправки подряд": поправки в двух микроциклах подряд, проверить ПМ или поставить разгрузку. "ПМ выше/ниже расчёта 2 раза": расчётный ПМ по факту дважды подряд отличается больше порога, обновить ПМ на листе "Настройки".</t>
  </si>
  <si>
    <t xml:space="preserve">Пример</t>
  </si>
  <si>
    <t xml:space="preserve">В первых двух строках дневника стоит пример (сон 6 ч, стресс 3, крепатура 4, энергия 4). Замените своими данными.</t>
  </si>
  <si>
    <t xml:space="preserve">Расчётный ПМ = вес х (1 + (повторы + запас) / 30), формула Эпли с запасом повторов. Считается, только если повторы + запас не больше 10.</t>
  </si>
  <si>
    <t xml:space="preserve">Настройки цикла и правила поправки</t>
  </si>
  <si>
    <t xml:space="preserve">Клиент</t>
  </si>
  <si>
    <t xml:space="preserve">Пример: Иван</t>
  </si>
  <si>
    <t xml:space="preserve">База</t>
  </si>
  <si>
    <t xml:space="preserve">Жим лёжа</t>
  </si>
  <si>
    <t xml:space="preserve">ПМ, кг</t>
  </si>
  <si>
    <t xml:space="preserve">Шаг округления, кг</t>
  </si>
  <si>
    <t xml:space="preserve">Скорость прогрессии за микроцикл</t>
  </si>
  <si>
    <t xml:space="preserve">Микроцикл (М-С-Л-Т или С-Л-Т)</t>
  </si>
  <si>
    <t xml:space="preserve">С-Л-Т</t>
  </si>
  <si>
    <t xml:space="preserve">Проценты калькулятора</t>
  </si>
  <si>
    <t xml:space="preserve">День</t>
  </si>
  <si>
    <t xml:space="preserve">Базовый %</t>
  </si>
  <si>
    <t xml:space="preserve">Подводка (мк 4)</t>
  </si>
  <si>
    <t xml:space="preserve">Подходы мк1</t>
  </si>
  <si>
    <t xml:space="preserve">мк2</t>
  </si>
  <si>
    <t xml:space="preserve">мк3</t>
  </si>
  <si>
    <t xml:space="preserve">мк4</t>
  </si>
  <si>
    <t xml:space="preserve">М</t>
  </si>
  <si>
    <t xml:space="preserve">6 по 3</t>
  </si>
  <si>
    <t xml:space="preserve">5 по 3</t>
  </si>
  <si>
    <t xml:space="preserve">4 по 3</t>
  </si>
  <si>
    <t xml:space="preserve">С</t>
  </si>
  <si>
    <t xml:space="preserve">7 по 2</t>
  </si>
  <si>
    <t xml:space="preserve">4 по 2</t>
  </si>
  <si>
    <t xml:space="preserve">Л</t>
  </si>
  <si>
    <t xml:space="preserve">4 по 5</t>
  </si>
  <si>
    <t xml:space="preserve">4 по 6</t>
  </si>
  <si>
    <t xml:space="preserve">Т</t>
  </si>
  <si>
    <t xml:space="preserve">Проходка</t>
  </si>
  <si>
    <t xml:space="preserve">3 по 1 + 92%, 2 по 2</t>
  </si>
  <si>
    <t xml:space="preserve">Проходка 95-100%, 1 по 1 + 1 по 1</t>
  </si>
  <si>
    <t xml:space="preserve">Источник: база "Тренировочные планы", калькулятор Микаела. Рабочий % = базовый + скорость х (микроцикл - 1).</t>
  </si>
  <si>
    <t xml:space="preserve">Поправка по сну (часы)</t>
  </si>
  <si>
    <t xml:space="preserve">От, часов</t>
  </si>
  <si>
    <t xml:space="preserve">Уровень</t>
  </si>
  <si>
    <t xml:space="preserve">М, п.п.</t>
  </si>
  <si>
    <t xml:space="preserve">С, п.п.</t>
  </si>
  <si>
    <t xml:space="preserve">Л, п.п.</t>
  </si>
  <si>
    <t xml:space="preserve">Т, п.п.</t>
  </si>
  <si>
    <t xml:space="preserve">Замена дня</t>
  </si>
  <si>
    <t xml:space="preserve">Не спал</t>
  </si>
  <si>
    <t xml:space="preserve">Только Л</t>
  </si>
  <si>
    <t xml:space="preserve">Почти не спал</t>
  </si>
  <si>
    <t xml:space="preserve">Т на С</t>
  </si>
  <si>
    <t xml:space="preserve">Недосып</t>
  </si>
  <si>
    <t xml:space="preserve">Нет</t>
  </si>
  <si>
    <t xml:space="preserve">Норма</t>
  </si>
  <si>
    <t xml:space="preserve">Пороги сна от Микаела: меньше 7 ч недосып, меньше 5 ч почти не спал, меньше 3-4 ч не спал. Пункты снижения: решение агента по жиму.</t>
  </si>
  <si>
    <t xml:space="preserve">Поправка по оценкам 1-5 (стресс, крепатура, энергия)</t>
  </si>
  <si>
    <t xml:space="preserve">Оценка</t>
  </si>
  <si>
    <t xml:space="preserve">Снижение, п.п.</t>
  </si>
  <si>
    <t xml:space="preserve">5 значит отлично (нет стресса, нет крепатуры, полно энергии), 1 значит очень плохо.</t>
  </si>
  <si>
    <t xml:space="preserve">Пороги решений</t>
  </si>
  <si>
    <t xml:space="preserve">Максимум суммарного снижения</t>
  </si>
  <si>
    <t xml:space="preserve">Т заменяю на С, если снижение от</t>
  </si>
  <si>
    <t xml:space="preserve">Любой день делаю Л, если снижение от</t>
  </si>
  <si>
    <t xml:space="preserve">"С с низкими процентами": минус пунктов от С</t>
  </si>
  <si>
    <t xml:space="preserve">Порог отклонения расчётного ПМ</t>
  </si>
  <si>
    <t xml:space="preserve">Дневник цикла: жёлтое заполняет тренер или клиент, остальное считается само</t>
  </si>
  <si>
    <t xml:space="preserve">Дата</t>
  </si>
  <si>
    <t xml:space="preserve">Микро-цикл</t>
  </si>
  <si>
    <t xml:space="preserve">День по плану</t>
  </si>
  <si>
    <t xml:space="preserve">Сон, часов</t>
  </si>
  <si>
    <t xml:space="preserve">Стресс 1-5</t>
  </si>
  <si>
    <t xml:space="preserve">Крепатура 1-5</t>
  </si>
  <si>
    <t xml:space="preserve">Энергия 1-5</t>
  </si>
  <si>
    <t xml:space="preserve">Инфекция с температурой (да/нет)</t>
  </si>
  <si>
    <t xml:space="preserve">Боль в груди, давление, острая боль (да/нет)</t>
  </si>
  <si>
    <t xml:space="preserve">Уровень сна</t>
  </si>
  <si>
    <t xml:space="preserve">Снижение по сну</t>
  </si>
  <si>
    <t xml:space="preserve">Снижение по опросу</t>
  </si>
  <si>
    <t xml:space="preserve">Итог снижения</t>
  </si>
  <si>
    <t xml:space="preserve">Решение</t>
  </si>
  <si>
    <t xml:space="preserve">День факт</t>
  </si>
  <si>
    <t xml:space="preserve">Поправка была</t>
  </si>
  <si>
    <t xml:space="preserve">Сдвиг прогрессии</t>
  </si>
  <si>
    <t xml:space="preserve">Микроцикл для %</t>
  </si>
  <si>
    <t xml:space="preserve">План %</t>
  </si>
  <si>
    <t xml:space="preserve">Рабочий %</t>
  </si>
  <si>
    <t xml:space="preserve">Рабочий вес, кг</t>
  </si>
  <si>
    <t xml:space="preserve">Подходы по повторы</t>
  </si>
  <si>
    <t xml:space="preserve">Факт: вес</t>
  </si>
  <si>
    <t xml:space="preserve">Факт: повторы</t>
  </si>
  <si>
    <t xml:space="preserve">Факт: запас повторов</t>
  </si>
  <si>
    <t xml:space="preserve">Расчётный ПМ</t>
  </si>
  <si>
    <t xml:space="preserve">Отклонение от ПМ</t>
  </si>
  <si>
    <t xml:space="preserve">Последнее отклонение</t>
  </si>
  <si>
    <t xml:space="preserve">Сигнал</t>
  </si>
  <si>
    <t xml:space="preserve">нет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</si>
</sst>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%"/>
    <numFmt numFmtId="167" formatCode="dd\.mm\.yy"/>
    <numFmt numFmtId="168" formatCode="General"/>
    <numFmt numFmtId="169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5.05" hidden="false" customHeight="false" outlineLevel="0" collapsed="false">
      <c r="A3" s="3" t="s">
        <v>2</v>
      </c>
    </row>
    <row r="4" customFormat="false" ht="15" hidden="false" customHeight="false" outlineLevel="0" collapsed="false">
      <c r="A4" s="2" t="s">
        <v>3</v>
      </c>
    </row>
    <row r="5" customFormat="false" ht="23.85" hidden="false" customHeight="false" outlineLevel="0" collapsed="false">
      <c r="A5" s="3" t="s">
        <v>4</v>
      </c>
    </row>
    <row r="6" customFormat="false" ht="23.85" hidden="false" customHeight="false" outlineLevel="0" collapsed="false">
      <c r="A6" s="3" t="s">
        <v>5</v>
      </c>
    </row>
    <row r="7" customFormat="false" ht="23.85" hidden="false" customHeight="false" outlineLevel="0" collapsed="false">
      <c r="A7" s="3" t="s">
        <v>6</v>
      </c>
    </row>
    <row r="8" customFormat="false" ht="15" hidden="false" customHeight="false" outlineLevel="0" collapsed="false">
      <c r="A8" s="2" t="s">
        <v>7</v>
      </c>
    </row>
    <row r="9" customFormat="false" ht="35.05" hidden="false" customHeight="false" outlineLevel="0" collapsed="false">
      <c r="A9" s="3" t="s">
        <v>8</v>
      </c>
    </row>
    <row r="10" customFormat="false" ht="15" hidden="false" customHeight="false" outlineLevel="0" collapsed="false">
      <c r="A10" s="2" t="s">
        <v>9</v>
      </c>
    </row>
    <row r="11" customFormat="false" ht="23.85" hidden="false" customHeight="false" outlineLevel="0" collapsed="false">
      <c r="A11" s="3" t="s">
        <v>10</v>
      </c>
    </row>
    <row r="12" customFormat="false" ht="15" hidden="false" customHeight="false" outlineLevel="0" collapsed="false">
      <c r="A12" s="2" t="s">
        <v>11</v>
      </c>
    </row>
    <row r="13" customFormat="false" ht="23.8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2" t="s">
        <v>13</v>
      </c>
    </row>
    <row r="15" customFormat="false" ht="15" hidden="false" customHeight="false" outlineLevel="0" collapsed="false">
      <c r="A15" s="3" t="s">
        <v>14</v>
      </c>
    </row>
    <row r="16" customFormat="false" ht="23.85" hidden="false" customHeight="false" outlineLevel="0" collapsed="false">
      <c r="A16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4" t="s">
        <v>16</v>
      </c>
    </row>
    <row r="3" customFormat="false" ht="15" hidden="false" customHeight="false" outlineLevel="0" collapsed="false">
      <c r="A3" s="5" t="s">
        <v>17</v>
      </c>
      <c r="B3" s="6" t="s">
        <v>18</v>
      </c>
    </row>
    <row r="4" customFormat="false" ht="15" hidden="false" customHeight="false" outlineLevel="0" collapsed="false">
      <c r="A4" s="5" t="s">
        <v>19</v>
      </c>
      <c r="B4" s="6" t="s">
        <v>20</v>
      </c>
    </row>
    <row r="5" customFormat="false" ht="15" hidden="false" customHeight="false" outlineLevel="0" collapsed="false">
      <c r="A5" s="5" t="s">
        <v>21</v>
      </c>
      <c r="B5" s="7" t="n">
        <v>165</v>
      </c>
    </row>
    <row r="6" customFormat="false" ht="15" hidden="false" customHeight="false" outlineLevel="0" collapsed="false">
      <c r="A6" s="5" t="s">
        <v>22</v>
      </c>
      <c r="B6" s="7" t="n">
        <v>2.5</v>
      </c>
    </row>
    <row r="7" customFormat="false" ht="15" hidden="false" customHeight="false" outlineLevel="0" collapsed="false">
      <c r="A7" s="5" t="s">
        <v>23</v>
      </c>
      <c r="B7" s="8" t="n">
        <v>0.04</v>
      </c>
    </row>
    <row r="8" customFormat="false" ht="15" hidden="false" customHeight="false" outlineLevel="0" collapsed="false">
      <c r="A8" s="5" t="s">
        <v>24</v>
      </c>
      <c r="B8" s="6" t="s">
        <v>25</v>
      </c>
    </row>
    <row r="11" customFormat="false" ht="15" hidden="false" customHeight="false" outlineLevel="0" collapsed="false">
      <c r="A11" s="4" t="s">
        <v>26</v>
      </c>
    </row>
    <row r="12" customFormat="false" ht="23.85" hidden="false" customHeight="false" outlineLevel="0" collapsed="false">
      <c r="A12" s="9" t="s">
        <v>27</v>
      </c>
      <c r="B12" s="9" t="s">
        <v>28</v>
      </c>
      <c r="C12" s="9" t="s">
        <v>29</v>
      </c>
      <c r="D12" s="9" t="s">
        <v>30</v>
      </c>
      <c r="E12" s="9" t="s">
        <v>31</v>
      </c>
      <c r="F12" s="9" t="s">
        <v>32</v>
      </c>
      <c r="G12" s="9" t="s">
        <v>33</v>
      </c>
    </row>
    <row r="13" customFormat="false" ht="15" hidden="false" customHeight="false" outlineLevel="0" collapsed="false">
      <c r="A13" s="10" t="s">
        <v>34</v>
      </c>
      <c r="B13" s="8" t="n">
        <v>0.69</v>
      </c>
      <c r="C13" s="8" t="n">
        <v>0.69</v>
      </c>
      <c r="D13" s="6" t="s">
        <v>35</v>
      </c>
      <c r="E13" s="6" t="s">
        <v>35</v>
      </c>
      <c r="F13" s="6" t="s">
        <v>36</v>
      </c>
      <c r="G13" s="6" t="s">
        <v>37</v>
      </c>
    </row>
    <row r="14" customFormat="false" ht="15" hidden="false" customHeight="false" outlineLevel="0" collapsed="false">
      <c r="A14" s="10" t="s">
        <v>38</v>
      </c>
      <c r="B14" s="8" t="n">
        <v>0.8</v>
      </c>
      <c r="C14" s="8" t="n">
        <v>0.8</v>
      </c>
      <c r="D14" s="6" t="s">
        <v>35</v>
      </c>
      <c r="E14" s="6" t="s">
        <v>36</v>
      </c>
      <c r="F14" s="6" t="s">
        <v>39</v>
      </c>
      <c r="G14" s="6" t="s">
        <v>40</v>
      </c>
    </row>
    <row r="15" customFormat="false" ht="15" hidden="false" customHeight="false" outlineLevel="0" collapsed="false">
      <c r="A15" s="10" t="s">
        <v>41</v>
      </c>
      <c r="B15" s="8" t="n">
        <v>0.57</v>
      </c>
      <c r="C15" s="8" t="n">
        <v>0.57</v>
      </c>
      <c r="D15" s="6" t="s">
        <v>42</v>
      </c>
      <c r="E15" s="6" t="s">
        <v>43</v>
      </c>
      <c r="F15" s="6" t="s">
        <v>43</v>
      </c>
      <c r="G15" s="6" t="s">
        <v>37</v>
      </c>
    </row>
    <row r="16" customFormat="false" ht="35.05" hidden="false" customHeight="false" outlineLevel="0" collapsed="false">
      <c r="A16" s="10" t="s">
        <v>44</v>
      </c>
      <c r="B16" s="8" t="n">
        <v>0.92</v>
      </c>
      <c r="C16" s="6" t="s">
        <v>45</v>
      </c>
      <c r="D16" s="6" t="s">
        <v>40</v>
      </c>
      <c r="E16" s="6" t="s">
        <v>46</v>
      </c>
      <c r="F16" s="6" t="s">
        <v>46</v>
      </c>
      <c r="G16" s="6" t="s">
        <v>47</v>
      </c>
    </row>
    <row r="17" customFormat="false" ht="15" hidden="false" customHeight="false" outlineLevel="0" collapsed="false">
      <c r="A17" s="11" t="s">
        <v>48</v>
      </c>
    </row>
    <row r="19" customFormat="false" ht="15" hidden="false" customHeight="false" outlineLevel="0" collapsed="false">
      <c r="A19" s="4" t="s">
        <v>49</v>
      </c>
    </row>
    <row r="20" customFormat="false" ht="15" hidden="false" customHeight="false" outlineLevel="0" collapsed="false">
      <c r="A20" s="9" t="s">
        <v>50</v>
      </c>
      <c r="B20" s="9" t="s">
        <v>51</v>
      </c>
      <c r="C20" s="9" t="s">
        <v>52</v>
      </c>
      <c r="D20" s="9" t="s">
        <v>53</v>
      </c>
      <c r="E20" s="9" t="s">
        <v>54</v>
      </c>
      <c r="F20" s="9" t="s">
        <v>55</v>
      </c>
      <c r="G20" s="9" t="s">
        <v>56</v>
      </c>
    </row>
    <row r="21" customFormat="false" ht="15" hidden="false" customHeight="false" outlineLevel="0" collapsed="false">
      <c r="A21" s="7" t="n">
        <v>0</v>
      </c>
      <c r="B21" s="6" t="s">
        <v>57</v>
      </c>
      <c r="C21" s="8" t="n">
        <v>0.1</v>
      </c>
      <c r="D21" s="8" t="n">
        <v>0.1</v>
      </c>
      <c r="E21" s="8" t="n">
        <v>0.05</v>
      </c>
      <c r="F21" s="8" t="n">
        <v>0.1</v>
      </c>
      <c r="G21" s="6" t="s">
        <v>58</v>
      </c>
    </row>
    <row r="22" customFormat="false" ht="15" hidden="false" customHeight="false" outlineLevel="0" collapsed="false">
      <c r="A22" s="7" t="n">
        <v>3.5</v>
      </c>
      <c r="B22" s="6" t="s">
        <v>59</v>
      </c>
      <c r="C22" s="8" t="n">
        <v>0.07</v>
      </c>
      <c r="D22" s="8" t="n">
        <v>0.07</v>
      </c>
      <c r="E22" s="8" t="n">
        <v>0.05</v>
      </c>
      <c r="F22" s="8" t="n">
        <v>0.07</v>
      </c>
      <c r="G22" s="6" t="s">
        <v>60</v>
      </c>
    </row>
    <row r="23" customFormat="false" ht="15" hidden="false" customHeight="false" outlineLevel="0" collapsed="false">
      <c r="A23" s="7" t="n">
        <v>5</v>
      </c>
      <c r="B23" s="6" t="s">
        <v>61</v>
      </c>
      <c r="C23" s="8" t="n">
        <v>0.03</v>
      </c>
      <c r="D23" s="8" t="n">
        <v>0.03</v>
      </c>
      <c r="E23" s="8" t="n">
        <v>0</v>
      </c>
      <c r="F23" s="8" t="n">
        <v>0.03</v>
      </c>
      <c r="G23" s="6" t="s">
        <v>62</v>
      </c>
    </row>
    <row r="24" customFormat="false" ht="15" hidden="false" customHeight="false" outlineLevel="0" collapsed="false">
      <c r="A24" s="7" t="n">
        <v>7</v>
      </c>
      <c r="B24" s="6" t="s">
        <v>63</v>
      </c>
      <c r="C24" s="8" t="n">
        <v>0</v>
      </c>
      <c r="D24" s="8" t="n">
        <v>0</v>
      </c>
      <c r="E24" s="8" t="n">
        <v>0</v>
      </c>
      <c r="F24" s="8" t="n">
        <v>0</v>
      </c>
      <c r="G24" s="6" t="s">
        <v>62</v>
      </c>
    </row>
    <row r="25" customFormat="false" ht="15" hidden="false" customHeight="false" outlineLevel="0" collapsed="false">
      <c r="A25" s="11" t="s">
        <v>64</v>
      </c>
    </row>
    <row r="27" customFormat="false" ht="15" hidden="false" customHeight="false" outlineLevel="0" collapsed="false">
      <c r="A27" s="4" t="s">
        <v>65</v>
      </c>
    </row>
    <row r="28" customFormat="false" ht="15" hidden="false" customHeight="false" outlineLevel="0" collapsed="false">
      <c r="A28" s="9" t="s">
        <v>66</v>
      </c>
      <c r="B28" s="9" t="s">
        <v>67</v>
      </c>
    </row>
    <row r="29" customFormat="false" ht="15" hidden="false" customHeight="false" outlineLevel="0" collapsed="false">
      <c r="A29" s="6" t="n">
        <v>1</v>
      </c>
      <c r="B29" s="8" t="n">
        <v>0.05</v>
      </c>
    </row>
    <row r="30" customFormat="false" ht="15" hidden="false" customHeight="false" outlineLevel="0" collapsed="false">
      <c r="A30" s="6" t="n">
        <v>2</v>
      </c>
      <c r="B30" s="8" t="n">
        <v>0.03</v>
      </c>
    </row>
    <row r="31" customFormat="false" ht="15" hidden="false" customHeight="false" outlineLevel="0" collapsed="false">
      <c r="A31" s="6" t="n">
        <v>3</v>
      </c>
      <c r="B31" s="8" t="n">
        <v>0.02</v>
      </c>
    </row>
    <row r="32" customFormat="false" ht="15" hidden="false" customHeight="false" outlineLevel="0" collapsed="false">
      <c r="A32" s="6" t="n">
        <v>4</v>
      </c>
      <c r="B32" s="8" t="n">
        <v>0</v>
      </c>
    </row>
    <row r="33" customFormat="false" ht="15" hidden="false" customHeight="false" outlineLevel="0" collapsed="false">
      <c r="A33" s="6" t="n">
        <v>5</v>
      </c>
      <c r="B33" s="8" t="n">
        <v>0</v>
      </c>
    </row>
    <row r="34" customFormat="false" ht="15" hidden="false" customHeight="false" outlineLevel="0" collapsed="false">
      <c r="A34" s="11" t="s">
        <v>68</v>
      </c>
    </row>
    <row r="36" customFormat="false" ht="15" hidden="false" customHeight="false" outlineLevel="0" collapsed="false">
      <c r="A36" s="4" t="s">
        <v>69</v>
      </c>
    </row>
    <row r="37" customFormat="false" ht="15" hidden="false" customHeight="false" outlineLevel="0" collapsed="false">
      <c r="A37" s="5" t="s">
        <v>70</v>
      </c>
      <c r="B37" s="8" t="n">
        <v>0.1</v>
      </c>
    </row>
    <row r="38" customFormat="false" ht="15" hidden="false" customHeight="false" outlineLevel="0" collapsed="false">
      <c r="A38" s="5" t="s">
        <v>71</v>
      </c>
      <c r="B38" s="8" t="n">
        <v>0.05</v>
      </c>
    </row>
    <row r="39" customFormat="false" ht="15" hidden="false" customHeight="false" outlineLevel="0" collapsed="false">
      <c r="A39" s="5" t="s">
        <v>72</v>
      </c>
      <c r="B39" s="8" t="n">
        <v>0.08</v>
      </c>
    </row>
    <row r="40" customFormat="false" ht="15" hidden="false" customHeight="false" outlineLevel="0" collapsed="false">
      <c r="A40" s="5" t="s">
        <v>73</v>
      </c>
      <c r="B40" s="8" t="n">
        <v>0.05</v>
      </c>
    </row>
    <row r="41" customFormat="false" ht="15" hidden="false" customHeight="false" outlineLevel="0" collapsed="false">
      <c r="A41" s="5" t="s">
        <v>74</v>
      </c>
      <c r="B41" s="8" t="n">
        <v>0.03</v>
      </c>
    </row>
  </sheetData>
  <dataValidations count="1">
    <dataValidation allowBlank="false" errorStyle="stop" operator="between" showDropDown="false" showErrorMessage="false" showInputMessage="false" sqref="B8" type="list">
      <formula1>"М-С-Л-Т,С-Л-Т"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5" min="2" style="0" width="7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3" min="11" style="0" width="9"/>
    <col collapsed="false" customWidth="true" hidden="false" outlineLevel="0" max="14" min="14" style="0" width="22"/>
    <col collapsed="false" customWidth="true" hidden="false" outlineLevel="0" max="15" min="15" style="0" width="7"/>
    <col collapsed="false" customWidth="true" hidden="false" outlineLevel="0" max="20" min="16" style="0" width="8"/>
    <col collapsed="false" customWidth="true" hidden="false" outlineLevel="0" max="21" min="21" style="0" width="9"/>
    <col collapsed="false" customWidth="true" hidden="false" outlineLevel="0" max="22" min="22" style="0" width="22"/>
    <col collapsed="false" customWidth="true" hidden="false" outlineLevel="0" max="25" min="23" style="0" width="8"/>
    <col collapsed="false" customWidth="true" hidden="false" outlineLevel="0" max="28" min="26" style="0" width="9"/>
    <col collapsed="false" customWidth="true" hidden="false" outlineLevel="0" max="29" min="29" style="0" width="30"/>
  </cols>
  <sheetData>
    <row r="1" customFormat="false" ht="15" hidden="false" customHeight="false" outlineLevel="0" collapsed="false">
      <c r="A1" s="4" t="s">
        <v>75</v>
      </c>
    </row>
    <row r="3" customFormat="false" ht="54" hidden="false" customHeight="true" outlineLevel="0" collapsed="false">
      <c r="A3" s="9" t="s">
        <v>76</v>
      </c>
      <c r="B3" s="9" t="s">
        <v>77</v>
      </c>
      <c r="C3" s="9" t="s">
        <v>78</v>
      </c>
      <c r="D3" s="9" t="s">
        <v>79</v>
      </c>
      <c r="E3" s="9" t="s">
        <v>80</v>
      </c>
      <c r="F3" s="9" t="s">
        <v>81</v>
      </c>
      <c r="G3" s="9" t="s">
        <v>82</v>
      </c>
      <c r="H3" s="9" t="s">
        <v>83</v>
      </c>
      <c r="I3" s="9" t="s">
        <v>84</v>
      </c>
      <c r="J3" s="9" t="s">
        <v>85</v>
      </c>
      <c r="K3" s="9" t="s">
        <v>86</v>
      </c>
      <c r="L3" s="9" t="s">
        <v>87</v>
      </c>
      <c r="M3" s="9" t="s">
        <v>88</v>
      </c>
      <c r="N3" s="9" t="s">
        <v>89</v>
      </c>
      <c r="O3" s="9" t="s">
        <v>90</v>
      </c>
      <c r="P3" s="9" t="s">
        <v>91</v>
      </c>
      <c r="Q3" s="9" t="s">
        <v>92</v>
      </c>
      <c r="R3" s="9" t="s">
        <v>93</v>
      </c>
      <c r="S3" s="9" t="s">
        <v>94</v>
      </c>
      <c r="T3" s="9" t="s">
        <v>95</v>
      </c>
      <c r="U3" s="9" t="s">
        <v>96</v>
      </c>
      <c r="V3" s="9" t="s">
        <v>97</v>
      </c>
      <c r="W3" s="9" t="s">
        <v>98</v>
      </c>
      <c r="X3" s="9" t="s">
        <v>99</v>
      </c>
      <c r="Y3" s="9" t="s">
        <v>100</v>
      </c>
      <c r="Z3" s="9" t="s">
        <v>101</v>
      </c>
      <c r="AA3" s="9" t="s">
        <v>102</v>
      </c>
      <c r="AB3" s="9" t="s">
        <v>103</v>
      </c>
      <c r="AC3" s="9" t="s">
        <v>104</v>
      </c>
    </row>
    <row r="4" customFormat="false" ht="23.85" hidden="false" customHeight="false" outlineLevel="0" collapsed="false">
      <c r="A4" s="12"/>
      <c r="B4" s="13" t="n">
        <f aca="false">IF(0&lt;6*IF(Настройки!$B$8="С-Л-Т",3,4),INT(0/IF(Настройки!$B$8="С-Л-Т",3,4))+1,"")</f>
        <v>1</v>
      </c>
      <c r="C4" s="13" t="str">
        <f aca="false">IF(B4="","",IF(Настройки!$B$8="С-Л-Т",CHOOSE(MOD(0,3)+1,"С","Л","Т"),CHOOSE(MOD(0,4)+1,"М","С","Л","Т")))</f>
        <v>С</v>
      </c>
      <c r="D4" s="6" t="n">
        <v>6</v>
      </c>
      <c r="E4" s="6" t="n">
        <v>3</v>
      </c>
      <c r="F4" s="6" t="n">
        <v>4</v>
      </c>
      <c r="G4" s="6" t="n">
        <v>4</v>
      </c>
      <c r="H4" s="6" t="s">
        <v>105</v>
      </c>
      <c r="I4" s="6" t="s">
        <v>105</v>
      </c>
      <c r="J4" s="13" t="str">
        <f aca="false">IF(D4="","",LOOKUP(D4,Настройки!$A$21:$A$24,Настройки!$B$21:$B$24))</f>
        <v>Недосып</v>
      </c>
      <c r="K4" s="14" t="n">
        <f aca="false">IF(OR(D4="",C4=""),0,LOOKUP(D4,Настройки!$A$21:$A$24,INDEX(Настройки!$C$21:$F$24,0,MATCH(C4,Настройки!$A$13:$A$16,0))))</f>
        <v>0.03</v>
      </c>
      <c r="L4" s="14" t="n">
        <f aca="false">IF(E4="",0,LOOKUP(E4,Настройки!$A$29:$A$33,Настройки!$B$29:$B$33))+IF(F4="",0,LOOKUP(F4,Настройки!$A$29:$A$33,Настройки!$B$29:$B$33))+IF(G4="",0,LOOKUP(G4,Настройки!$A$29:$A$33,Настройки!$B$29:$B$33))</f>
        <v>0.02</v>
      </c>
      <c r="M4" s="14" t="n">
        <f aca="false">MIN(Настройки!$B$37,K4+L4)</f>
        <v>0.05</v>
      </c>
      <c r="N4" s="15" t="str">
        <f aca="false">IF(C4="","",IF(H4="да","Пропуск: инфекция",IF(I4="да","К тренеру, не тренироваться",IF(OR(IF(D4="","Нет",LOOKUP(D4,Настройки!$A$21:$A$24,Настройки!$G$21:$G$24))="Только Л",M4&gt;=Настройки!$B$39),"Лёгкий день",IF(AND(C4="Т",OR(IF(D4="","Нет",LOOKUP(D4,Настройки!$A$21:$A$24,Настройки!$G$21:$G$24))="Т на С",M4&gt;=Настройки!$B$38)),"Т на С с низкими %",IF(M4&gt;0,"Снижение","По плану"))))))</f>
        <v>Снижение</v>
      </c>
      <c r="O4" s="13" t="str">
        <f aca="false">IF(C4="","",IF(LEFT(N4,6)="Пропус","",IF(N4="К тренеру, не тренироваться","",IF(N4="Лёгкий день","Л",IF(N4="Т на С с низкими %","С",C4)))))</f>
        <v>С</v>
      </c>
      <c r="P4" s="13" t="n">
        <f aca="false">IF(OR(N4="",N4="По плану"),0,1)</f>
        <v>1</v>
      </c>
      <c r="Q4" s="13" t="n">
        <v>0</v>
      </c>
      <c r="R4" s="13" t="n">
        <f aca="false">IF(B4="","",MAX(1,B4-Q4))</f>
        <v>1</v>
      </c>
      <c r="S4" s="14" t="n">
        <f aca="false">IF(C4="","",IF(R4&lt;=3,INDEX(Настройки!$B$13:$B$16,MATCH(C4,Настройки!$A$13:$A$16,0))+Настройки!$B$7*(R4-1),IF(R4=4,INDEX(Настройки!$C$13:$C$16,MATCH(C4,Настройки!$A$13:$A$16,0)),"Новый цикл")))</f>
        <v>0.8</v>
      </c>
      <c r="T4" s="14" t="n">
        <f aca="false">IF(OR(O4="",NOT(ISNUMBER(S4))),"",IF(N4="Т на С с низкими %",(INDEX(Настройки!$B$13:$B$16,2)+Настройки!$B$7*(MIN(R4,3)-1))-Настройки!$B$40,IF(N4="Лёгкий день",MIN(S4,(INDEX(Настройки!$B$13:$B$16,3)+Настройки!$B$7*(MIN(R4,3)-1)))-IF(C4="Л",M4,0),S4-M4)))</f>
        <v>0.75</v>
      </c>
      <c r="U4" s="16" t="n">
        <f aca="false">IF(ISNUMBER(T4),ROUND(Настройки!$B$5*T4/Настройки!$B$6,0)*Настройки!$B$6,"")</f>
        <v>125</v>
      </c>
      <c r="V4" s="15" t="str">
        <f aca="false">IF(O4="","",IF(NOT(ISNUMBER(S4)),S4,IF(O4="Л",INDEX(Настройки!$D$13:$G$16,3,MIN(R4,4)),INDEX(Настройки!$D$13:$G$16,MATCH(O4,Настройки!$A$13:$A$16,0),MIN(R4,4)))&amp;IF(M4&gt;0," (подходов не меньше 4)","")))</f>
        <v>6 по 3 (подходов не меньше 4)</v>
      </c>
      <c r="W4" s="6"/>
      <c r="X4" s="6"/>
      <c r="Y4" s="6"/>
      <c r="Z4" s="16" t="str">
        <f aca="false">IF(AND(N(W4)&gt;0,N(X4)&gt;0,N(X4)+N(Y4)&lt;=10),W4*(1+(X4+N(Y4))/30),"")</f>
        <v/>
      </c>
      <c r="AA4" s="17" t="str">
        <f aca="false">IF(Z4="","",Z4/Настройки!$B$5-1)</f>
        <v/>
      </c>
      <c r="AB4" s="17" t="str">
        <f aca="false">IF(AA4="","",AA4)</f>
        <v/>
      </c>
      <c r="AC4" s="15" t="str">
        <f aca="false">IF(C4="","",TRIM(IF(AND(P4=1,COUNTIFS($B$4:$B$27,B4-1,$P$4:$P$27,1)&gt;0),"Две поправки подряд: проверить ПМ или разгрузка. ","")&amp;IF(AA4="","",IF(AND(AA4&gt;Настройки!$B$41,N("")&gt;Настройки!$B$41),"ПМ выше расчёта 2 раза: обновить ПМ. ",IF(AND(AA4&lt;-Настройки!$B$41,N("")&lt;-Настройки!$B$41),"ПМ ниже расчёта 2 раза: проверить ПМ. ","")))))</f>
        <v/>
      </c>
    </row>
    <row r="5" customFormat="false" ht="15" hidden="false" customHeight="false" outlineLevel="0" collapsed="false">
      <c r="A5" s="12"/>
      <c r="B5" s="13" t="n">
        <f aca="false">IF(1&lt;6*IF(Настройки!$B$8="С-Л-Т",3,4),INT(1/IF(Настройки!$B$8="С-Л-Т",3,4))+1,"")</f>
        <v>1</v>
      </c>
      <c r="C5" s="13" t="str">
        <f aca="false">IF(B5="","",IF(Настройки!$B$8="С-Л-Т",CHOOSE(MOD(1,3)+1,"С","Л","Т"),CHOOSE(MOD(1,4)+1,"М","С","Л","Т")))</f>
        <v>Л</v>
      </c>
      <c r="D5" s="6" t="n">
        <v>7.5</v>
      </c>
      <c r="E5" s="6" t="n">
        <v>5</v>
      </c>
      <c r="F5" s="6" t="n">
        <v>5</v>
      </c>
      <c r="G5" s="6" t="n">
        <v>5</v>
      </c>
      <c r="H5" s="6" t="s">
        <v>105</v>
      </c>
      <c r="I5" s="6" t="s">
        <v>105</v>
      </c>
      <c r="J5" s="13" t="str">
        <f aca="false">IF(D5="","",LOOKUP(D5,Настройки!$A$21:$A$24,Настройки!$B$21:$B$24))</f>
        <v>Норма</v>
      </c>
      <c r="K5" s="14" t="n">
        <f aca="false">IF(OR(D5="",C5=""),0,LOOKUP(D5,Настройки!$A$21:$A$24,INDEX(Настройки!$C$21:$F$24,0,MATCH(C5,Настройки!$A$13:$A$16,0))))</f>
        <v>0</v>
      </c>
      <c r="L5" s="14" t="n">
        <f aca="false">IF(E5="",0,LOOKUP(E5,Настройки!$A$29:$A$33,Настройки!$B$29:$B$33))+IF(F5="",0,LOOKUP(F5,Настройки!$A$29:$A$33,Настройки!$B$29:$B$33))+IF(G5="",0,LOOKUP(G5,Настройки!$A$29:$A$33,Настройки!$B$29:$B$33))</f>
        <v>0</v>
      </c>
      <c r="M5" s="14" t="n">
        <f aca="false">MIN(Настройки!$B$37,K5+L5)</f>
        <v>0</v>
      </c>
      <c r="N5" s="15" t="str">
        <f aca="false">IF(C5="","",IF(H5="да","Пропуск: инфекция",IF(I5="да","К тренеру, не тренироваться",IF(OR(IF(D5="","Нет",LOOKUP(D5,Настройки!$A$21:$A$24,Настройки!$G$21:$G$24))="Только Л",M5&gt;=Настройки!$B$39),"Лёгкий день",IF(AND(C5="Т",OR(IF(D5="","Нет",LOOKUP(D5,Настройки!$A$21:$A$24,Настройки!$G$21:$G$24))="Т на С",M5&gt;=Настройки!$B$38)),"Т на С с низкими %",IF(M5&gt;0,"Снижение","По плану"))))))</f>
        <v>По плану</v>
      </c>
      <c r="O5" s="13" t="str">
        <f aca="false">IF(C5="","",IF(LEFT(N5,6)="Пропус","",IF(N5="К тренеру, не тренироваться","",IF(N5="Лёгкий день","Л",IF(N5="Т на С с низкими %","С",C5)))))</f>
        <v>Л</v>
      </c>
      <c r="P5" s="13" t="n">
        <f aca="false">IF(OR(N5="",N5="По плану"),0,1)</f>
        <v>0</v>
      </c>
      <c r="Q5" s="13" t="n">
        <f aca="false">COUNTIFS($C$4:C4,C5,$P$4:P4,1)</f>
        <v>0</v>
      </c>
      <c r="R5" s="13" t="n">
        <f aca="false">IF(B5="","",MAX(1,B5-Q5))</f>
        <v>1</v>
      </c>
      <c r="S5" s="14" t="n">
        <f aca="false">IF(C5="","",IF(R5&lt;=3,INDEX(Настройки!$B$13:$B$16,MATCH(C5,Настройки!$A$13:$A$16,0))+Настройки!$B$7*(R5-1),IF(R5=4,INDEX(Настройки!$C$13:$C$16,MATCH(C5,Настройки!$A$13:$A$16,0)),"Новый цикл")))</f>
        <v>0.57</v>
      </c>
      <c r="T5" s="14" t="n">
        <f aca="false">IF(OR(O5="",NOT(ISNUMBER(S5))),"",IF(N5="Т на С с низкими %",(INDEX(Настройки!$B$13:$B$16,2)+Настройки!$B$7*(MIN(R5,3)-1))-Настройки!$B$40,IF(N5="Лёгкий день",MIN(S5,(INDEX(Настройки!$B$13:$B$16,3)+Настройки!$B$7*(MIN(R5,3)-1)))-IF(C5="Л",M5,0),S5-M5)))</f>
        <v>0.57</v>
      </c>
      <c r="U5" s="16" t="n">
        <f aca="false">IF(ISNUMBER(T5),ROUND(Настройки!$B$5*T5/Настройки!$B$6,0)*Настройки!$B$6,"")</f>
        <v>95</v>
      </c>
      <c r="V5" s="15" t="str">
        <f aca="false">IF(O5="","",IF(NOT(ISNUMBER(S5)),S5,IF(O5="Л",INDEX(Настройки!$D$13:$G$16,3,MIN(R5,4)),INDEX(Настройки!$D$13:$G$16,MATCH(O5,Настройки!$A$13:$A$16,0),MIN(R5,4)))&amp;IF(M5&gt;0," (подходов не меньше 4)","")))</f>
        <v>4 по 5</v>
      </c>
      <c r="W5" s="6"/>
      <c r="X5" s="6"/>
      <c r="Y5" s="6"/>
      <c r="Z5" s="16" t="str">
        <f aca="false">IF(AND(N(W5)&gt;0,N(X5)&gt;0,N(X5)+N(Y5)&lt;=10),W5*(1+(X5+N(Y5))/30),"")</f>
        <v/>
      </c>
      <c r="AA5" s="17" t="str">
        <f aca="false">IF(Z5="","",Z5/Настройки!$B$5-1)</f>
        <v/>
      </c>
      <c r="AB5" s="17" t="str">
        <f aca="false">IF(AA5="",AB4,AA5)</f>
        <v/>
      </c>
      <c r="AC5" s="15" t="str">
        <f aca="false">IF(C5="","",TRIM(IF(AND(P5=1,COUNTIFS($B$4:$B$27,B5-1,$P$4:$P$27,1)&gt;0),"Две поправки подряд: проверить ПМ или разгрузка. ","")&amp;IF(AA5="","",IF(AND(AA5&gt;Настройки!$B$41,N(AB4)&gt;Настройки!$B$41),"ПМ выше расчёта 2 раза: обновить ПМ. ",IF(AND(AA5&lt;-Настройки!$B$41,N(AB4)&lt;-Настройки!$B$41),"ПМ ниже расчёта 2 раза: проверить ПМ. ","")))))</f>
        <v/>
      </c>
    </row>
    <row r="6" customFormat="false" ht="15" hidden="false" customHeight="false" outlineLevel="0" collapsed="false">
      <c r="A6" s="12"/>
      <c r="B6" s="13" t="n">
        <f aca="false">IF(2&lt;6*IF(Настройки!$B$8="С-Л-Т",3,4),INT(2/IF(Настройки!$B$8="С-Л-Т",3,4))+1,"")</f>
        <v>1</v>
      </c>
      <c r="C6" s="13" t="str">
        <f aca="false">IF(B6="","",IF(Настройки!$B$8="С-Л-Т",CHOOSE(MOD(2,3)+1,"С","Л","Т"),CHOOSE(MOD(2,4)+1,"М","С","Л","Т")))</f>
        <v>Т</v>
      </c>
      <c r="D6" s="6"/>
      <c r="E6" s="6"/>
      <c r="F6" s="6"/>
      <c r="G6" s="6"/>
      <c r="H6" s="6"/>
      <c r="I6" s="6"/>
      <c r="J6" s="13" t="str">
        <f aca="false">IF(D6="","",LOOKUP(D6,Настройки!$A$21:$A$24,Настройки!$B$21:$B$24))</f>
        <v/>
      </c>
      <c r="K6" s="14" t="n">
        <f aca="false">IF(OR(D6="",C6=""),0,LOOKUP(D6,Настройки!$A$21:$A$24,INDEX(Настройки!$C$21:$F$24,0,MATCH(C6,Настройки!$A$13:$A$16,0))))</f>
        <v>0</v>
      </c>
      <c r="L6" s="14" t="n">
        <f aca="false">IF(E6="",0,LOOKUP(E6,Настройки!$A$29:$A$33,Настройки!$B$29:$B$33))+IF(F6="",0,LOOKUP(F6,Настройки!$A$29:$A$33,Настройки!$B$29:$B$33))+IF(G6="",0,LOOKUP(G6,Настройки!$A$29:$A$33,Настройки!$B$29:$B$33))</f>
        <v>0</v>
      </c>
      <c r="M6" s="14" t="n">
        <f aca="false">MIN(Настройки!$B$37,K6+L6)</f>
        <v>0</v>
      </c>
      <c r="N6" s="15" t="str">
        <f aca="false">IF(C6="","",IF(H6="да","Пропуск: инфекция",IF(I6="да","К тренеру, не тренироваться",IF(OR(IF(D6="","Нет",LOOKUP(D6,Настройки!$A$21:$A$24,Настройки!$G$21:$G$24))="Только Л",M6&gt;=Настройки!$B$39),"Лёгкий день",IF(AND(C6="Т",OR(IF(D6="","Нет",LOOKUP(D6,Настройки!$A$21:$A$24,Настройки!$G$21:$G$24))="Т на С",M6&gt;=Настройки!$B$38)),"Т на С с низкими %",IF(M6&gt;0,"Снижение","По плану"))))))</f>
        <v>По плану</v>
      </c>
      <c r="O6" s="13" t="str">
        <f aca="false">IF(C6="","",IF(LEFT(N6,6)="Пропус","",IF(N6="К тренеру, не тренироваться","",IF(N6="Лёгкий день","Л",IF(N6="Т на С с низкими %","С",C6)))))</f>
        <v>Т</v>
      </c>
      <c r="P6" s="13" t="n">
        <f aca="false">IF(OR(N6="",N6="По плану"),0,1)</f>
        <v>0</v>
      </c>
      <c r="Q6" s="13" t="n">
        <f aca="false">COUNTIFS($C$4:C5,C6,$P$4:P5,1)</f>
        <v>0</v>
      </c>
      <c r="R6" s="13" t="n">
        <f aca="false">IF(B6="","",MAX(1,B6-Q6))</f>
        <v>1</v>
      </c>
      <c r="S6" s="14" t="n">
        <f aca="false">IF(C6="","",IF(R6&lt;=3,INDEX(Настройки!$B$13:$B$16,MATCH(C6,Настройки!$A$13:$A$16,0))+Настройки!$B$7*(R6-1),IF(R6=4,INDEX(Настройки!$C$13:$C$16,MATCH(C6,Настройки!$A$13:$A$16,0)),"Новый цикл")))</f>
        <v>0.92</v>
      </c>
      <c r="T6" s="14" t="n">
        <f aca="false">IF(OR(O6="",NOT(ISNUMBER(S6))),"",IF(N6="Т на С с низкими %",(INDEX(Настройки!$B$13:$B$16,2)+Настройки!$B$7*(MIN(R6,3)-1))-Настройки!$B$40,IF(N6="Лёгкий день",MIN(S6,(INDEX(Настройки!$B$13:$B$16,3)+Настройки!$B$7*(MIN(R6,3)-1)))-IF(C6="Л",M6,0),S6-M6)))</f>
        <v>0.92</v>
      </c>
      <c r="U6" s="16" t="n">
        <f aca="false">IF(ISNUMBER(T6),ROUND(Настройки!$B$5*T6/Настройки!$B$6,0)*Настройки!$B$6,"")</f>
        <v>152.5</v>
      </c>
      <c r="V6" s="15" t="str">
        <f aca="false">IF(O6="","",IF(NOT(ISNUMBER(S6)),S6,IF(O6="Л",INDEX(Настройки!$D$13:$G$16,3,MIN(R6,4)),INDEX(Настройки!$D$13:$G$16,MATCH(O6,Настройки!$A$13:$A$16,0),MIN(R6,4)))&amp;IF(M6&gt;0," (подходов не меньше 4)","")))</f>
        <v>4 по 2</v>
      </c>
      <c r="W6" s="6"/>
      <c r="X6" s="6"/>
      <c r="Y6" s="6"/>
      <c r="Z6" s="16" t="str">
        <f aca="false">IF(AND(N(W6)&gt;0,N(X6)&gt;0,N(X6)+N(Y6)&lt;=10),W6*(1+(X6+N(Y6))/30),"")</f>
        <v/>
      </c>
      <c r="AA6" s="17" t="str">
        <f aca="false">IF(Z6="","",Z6/Настройки!$B$5-1)</f>
        <v/>
      </c>
      <c r="AB6" s="17" t="str">
        <f aca="false">IF(AA6="",AB5,AA6)</f>
        <v/>
      </c>
      <c r="AC6" s="15" t="str">
        <f aca="false">IF(C6="","",TRIM(IF(AND(P6=1,COUNTIFS($B$4:$B$27,B6-1,$P$4:$P$27,1)&gt;0),"Две поправки подряд: проверить ПМ или разгрузка. ","")&amp;IF(AA6="","",IF(AND(AA6&gt;Настройки!$B$41,N(AB5)&gt;Настройки!$B$41),"ПМ выше расчёта 2 раза: обновить ПМ. ",IF(AND(AA6&lt;-Настройки!$B$41,N(AB5)&lt;-Настройки!$B$41),"ПМ ниже расчёта 2 раза: проверить ПМ. ","")))))</f>
        <v/>
      </c>
    </row>
    <row r="7" customFormat="false" ht="15" hidden="false" customHeight="false" outlineLevel="0" collapsed="false">
      <c r="A7" s="12"/>
      <c r="B7" s="13" t="n">
        <f aca="false">IF(3&lt;6*IF(Настройки!$B$8="С-Л-Т",3,4),INT(3/IF(Настройки!$B$8="С-Л-Т",3,4))+1,"")</f>
        <v>2</v>
      </c>
      <c r="C7" s="13" t="str">
        <f aca="false">IF(B7="","",IF(Настройки!$B$8="С-Л-Т",CHOOSE(MOD(3,3)+1,"С","Л","Т"),CHOOSE(MOD(3,4)+1,"М","С","Л","Т")))</f>
        <v>С</v>
      </c>
      <c r="D7" s="6"/>
      <c r="E7" s="6"/>
      <c r="F7" s="6"/>
      <c r="G7" s="6"/>
      <c r="H7" s="6"/>
      <c r="I7" s="6"/>
      <c r="J7" s="13" t="str">
        <f aca="false">IF(D7="","",LOOKUP(D7,Настройки!$A$21:$A$24,Настройки!$B$21:$B$24))</f>
        <v/>
      </c>
      <c r="K7" s="14" t="n">
        <f aca="false">IF(OR(D7="",C7=""),0,LOOKUP(D7,Настройки!$A$21:$A$24,INDEX(Настройки!$C$21:$F$24,0,MATCH(C7,Настройки!$A$13:$A$16,0))))</f>
        <v>0</v>
      </c>
      <c r="L7" s="14" t="n">
        <f aca="false">IF(E7="",0,LOOKUP(E7,Настройки!$A$29:$A$33,Настройки!$B$29:$B$33))+IF(F7="",0,LOOKUP(F7,Настройки!$A$29:$A$33,Настройки!$B$29:$B$33))+IF(G7="",0,LOOKUP(G7,Настройки!$A$29:$A$33,Настройки!$B$29:$B$33))</f>
        <v>0</v>
      </c>
      <c r="M7" s="14" t="n">
        <f aca="false">MIN(Настройки!$B$37,K7+L7)</f>
        <v>0</v>
      </c>
      <c r="N7" s="15" t="str">
        <f aca="false">IF(C7="","",IF(H7="да","Пропуск: инфекция",IF(I7="да","К тренеру, не тренироваться",IF(OR(IF(D7="","Нет",LOOKUP(D7,Настройки!$A$21:$A$24,Настройки!$G$21:$G$24))="Только Л",M7&gt;=Настройки!$B$39),"Лёгкий день",IF(AND(C7="Т",OR(IF(D7="","Нет",LOOKUP(D7,Настройки!$A$21:$A$24,Настройки!$G$21:$G$24))="Т на С",M7&gt;=Настройки!$B$38)),"Т на С с низкими %",IF(M7&gt;0,"Снижение","По плану"))))))</f>
        <v>По плану</v>
      </c>
      <c r="O7" s="13" t="str">
        <f aca="false">IF(C7="","",IF(LEFT(N7,6)="Пропус","",IF(N7="К тренеру, не тренироваться","",IF(N7="Лёгкий день","Л",IF(N7="Т на С с низкими %","С",C7)))))</f>
        <v>С</v>
      </c>
      <c r="P7" s="13" t="n">
        <f aca="false">IF(OR(N7="",N7="По плану"),0,1)</f>
        <v>0</v>
      </c>
      <c r="Q7" s="13" t="n">
        <f aca="false">COUNTIFS($C$4:C6,C7,$P$4:P6,1)</f>
        <v>1</v>
      </c>
      <c r="R7" s="13" t="n">
        <f aca="false">IF(B7="","",MAX(1,B7-Q7))</f>
        <v>1</v>
      </c>
      <c r="S7" s="14" t="n">
        <f aca="false">IF(C7="","",IF(R7&lt;=3,INDEX(Настройки!$B$13:$B$16,MATCH(C7,Настройки!$A$13:$A$16,0))+Настройки!$B$7*(R7-1),IF(R7=4,INDEX(Настройки!$C$13:$C$16,MATCH(C7,Настройки!$A$13:$A$16,0)),"Новый цикл")))</f>
        <v>0.8</v>
      </c>
      <c r="T7" s="14" t="n">
        <f aca="false">IF(OR(O7="",NOT(ISNUMBER(S7))),"",IF(N7="Т на С с низкими %",(INDEX(Настройки!$B$13:$B$16,2)+Настройки!$B$7*(MIN(R7,3)-1))-Настройки!$B$40,IF(N7="Лёгкий день",MIN(S7,(INDEX(Настройки!$B$13:$B$16,3)+Настройки!$B$7*(MIN(R7,3)-1)))-IF(C7="Л",M7,0),S7-M7)))</f>
        <v>0.8</v>
      </c>
      <c r="U7" s="16" t="n">
        <f aca="false">IF(ISNUMBER(T7),ROUND(Настройки!$B$5*T7/Настройки!$B$6,0)*Настройки!$B$6,"")</f>
        <v>132.5</v>
      </c>
      <c r="V7" s="15" t="str">
        <f aca="false">IF(O7="","",IF(NOT(ISNUMBER(S7)),S7,IF(O7="Л",INDEX(Настройки!$D$13:$G$16,3,MIN(R7,4)),INDEX(Настройки!$D$13:$G$16,MATCH(O7,Настройки!$A$13:$A$16,0),MIN(R7,4)))&amp;IF(M7&gt;0," (подходов не меньше 4)","")))</f>
        <v>6 по 3</v>
      </c>
      <c r="W7" s="6"/>
      <c r="X7" s="6"/>
      <c r="Y7" s="6"/>
      <c r="Z7" s="16" t="str">
        <f aca="false">IF(AND(N(W7)&gt;0,N(X7)&gt;0,N(X7)+N(Y7)&lt;=10),W7*(1+(X7+N(Y7))/30),"")</f>
        <v/>
      </c>
      <c r="AA7" s="17" t="str">
        <f aca="false">IF(Z7="","",Z7/Настройки!$B$5-1)</f>
        <v/>
      </c>
      <c r="AB7" s="17" t="str">
        <f aca="false">IF(AA7="",AB6,AA7)</f>
        <v/>
      </c>
      <c r="AC7" s="15" t="str">
        <f aca="false">IF(C7="","",TRIM(IF(AND(P7=1,COUNTIFS($B$4:$B$27,B7-1,$P$4:$P$27,1)&gt;0),"Две поправки подряд: проверить ПМ или разгрузка. ","")&amp;IF(AA7="","",IF(AND(AA7&gt;Настройки!$B$41,N(AB6)&gt;Настройки!$B$41),"ПМ выше расчёта 2 раза: обновить ПМ. ",IF(AND(AA7&lt;-Настройки!$B$41,N(AB6)&lt;-Настройки!$B$41),"ПМ ниже расчёта 2 раза: проверить ПМ. ","")))))</f>
        <v/>
      </c>
    </row>
    <row r="8" customFormat="false" ht="15" hidden="false" customHeight="false" outlineLevel="0" collapsed="false">
      <c r="A8" s="12"/>
      <c r="B8" s="13" t="n">
        <f aca="false">IF(4&lt;6*IF(Настройки!$B$8="С-Л-Т",3,4),INT(4/IF(Настройки!$B$8="С-Л-Т",3,4))+1,"")</f>
        <v>2</v>
      </c>
      <c r="C8" s="13" t="str">
        <f aca="false">IF(B8="","",IF(Настройки!$B$8="С-Л-Т",CHOOSE(MOD(4,3)+1,"С","Л","Т"),CHOOSE(MOD(4,4)+1,"М","С","Л","Т")))</f>
        <v>Л</v>
      </c>
      <c r="D8" s="6"/>
      <c r="E8" s="6"/>
      <c r="F8" s="6"/>
      <c r="G8" s="6"/>
      <c r="H8" s="6"/>
      <c r="I8" s="6"/>
      <c r="J8" s="13" t="str">
        <f aca="false">IF(D8="","",LOOKUP(D8,Настройки!$A$21:$A$24,Настройки!$B$21:$B$24))</f>
        <v/>
      </c>
      <c r="K8" s="14" t="n">
        <f aca="false">IF(OR(D8="",C8=""),0,LOOKUP(D8,Настройки!$A$21:$A$24,INDEX(Настройки!$C$21:$F$24,0,MATCH(C8,Настройки!$A$13:$A$16,0))))</f>
        <v>0</v>
      </c>
      <c r="L8" s="14" t="n">
        <f aca="false">IF(E8="",0,LOOKUP(E8,Настройки!$A$29:$A$33,Настройки!$B$29:$B$33))+IF(F8="",0,LOOKUP(F8,Настройки!$A$29:$A$33,Настройки!$B$29:$B$33))+IF(G8="",0,LOOKUP(G8,Настройки!$A$29:$A$33,Настройки!$B$29:$B$33))</f>
        <v>0</v>
      </c>
      <c r="M8" s="14" t="n">
        <f aca="false">MIN(Настройки!$B$37,K8+L8)</f>
        <v>0</v>
      </c>
      <c r="N8" s="15" t="str">
        <f aca="false">IF(C8="","",IF(H8="да","Пропуск: инфекция",IF(I8="да","К тренеру, не тренироваться",IF(OR(IF(D8="","Нет",LOOKUP(D8,Настройки!$A$21:$A$24,Настройки!$G$21:$G$24))="Только Л",M8&gt;=Настройки!$B$39),"Лёгкий день",IF(AND(C8="Т",OR(IF(D8="","Нет",LOOKUP(D8,Настройки!$A$21:$A$24,Настройки!$G$21:$G$24))="Т на С",M8&gt;=Настройки!$B$38)),"Т на С с низкими %",IF(M8&gt;0,"Снижение","По плану"))))))</f>
        <v>По плану</v>
      </c>
      <c r="O8" s="13" t="str">
        <f aca="false">IF(C8="","",IF(LEFT(N8,6)="Пропус","",IF(N8="К тренеру, не тренироваться","",IF(N8="Лёгкий день","Л",IF(N8="Т на С с низкими %","С",C8)))))</f>
        <v>Л</v>
      </c>
      <c r="P8" s="13" t="n">
        <f aca="false">IF(OR(N8="",N8="По плану"),0,1)</f>
        <v>0</v>
      </c>
      <c r="Q8" s="13" t="n">
        <f aca="false">COUNTIFS($C$4:C7,C8,$P$4:P7,1)</f>
        <v>0</v>
      </c>
      <c r="R8" s="13" t="n">
        <f aca="false">IF(B8="","",MAX(1,B8-Q8))</f>
        <v>2</v>
      </c>
      <c r="S8" s="14" t="n">
        <f aca="false">IF(C8="","",IF(R8&lt;=3,INDEX(Настройки!$B$13:$B$16,MATCH(C8,Настройки!$A$13:$A$16,0))+Настройки!$B$7*(R8-1),IF(R8=4,INDEX(Настройки!$C$13:$C$16,MATCH(C8,Настройки!$A$13:$A$16,0)),"Новый цикл")))</f>
        <v>0.61</v>
      </c>
      <c r="T8" s="14" t="n">
        <f aca="false">IF(OR(O8="",NOT(ISNUMBER(S8))),"",IF(N8="Т на С с низкими %",(INDEX(Настройки!$B$13:$B$16,2)+Настройки!$B$7*(MIN(R8,3)-1))-Настройки!$B$40,IF(N8="Лёгкий день",MIN(S8,(INDEX(Настройки!$B$13:$B$16,3)+Настройки!$B$7*(MIN(R8,3)-1)))-IF(C8="Л",M8,0),S8-M8)))</f>
        <v>0.61</v>
      </c>
      <c r="U8" s="16" t="n">
        <f aca="false">IF(ISNUMBER(T8),ROUND(Настройки!$B$5*T8/Настройки!$B$6,0)*Настройки!$B$6,"")</f>
        <v>100</v>
      </c>
      <c r="V8" s="15" t="str">
        <f aca="false">IF(O8="","",IF(NOT(ISNUMBER(S8)),S8,IF(O8="Л",INDEX(Настройки!$D$13:$G$16,3,MIN(R8,4)),INDEX(Настройки!$D$13:$G$16,MATCH(O8,Настройки!$A$13:$A$16,0),MIN(R8,4)))&amp;IF(M8&gt;0," (подходов не меньше 4)","")))</f>
        <v>4 по 6</v>
      </c>
      <c r="W8" s="6"/>
      <c r="X8" s="6"/>
      <c r="Y8" s="6"/>
      <c r="Z8" s="16" t="str">
        <f aca="false">IF(AND(N(W8)&gt;0,N(X8)&gt;0,N(X8)+N(Y8)&lt;=10),W8*(1+(X8+N(Y8))/30),"")</f>
        <v/>
      </c>
      <c r="AA8" s="17" t="str">
        <f aca="false">IF(Z8="","",Z8/Настройки!$B$5-1)</f>
        <v/>
      </c>
      <c r="AB8" s="17" t="str">
        <f aca="false">IF(AA8="",AB7,AA8)</f>
        <v/>
      </c>
      <c r="AC8" s="15" t="str">
        <f aca="false">IF(C8="","",TRIM(IF(AND(P8=1,COUNTIFS($B$4:$B$27,B8-1,$P$4:$P$27,1)&gt;0),"Две поправки подряд: проверить ПМ или разгрузка. ","")&amp;IF(AA8="","",IF(AND(AA8&gt;Настройки!$B$41,N(AB7)&gt;Настройки!$B$41),"ПМ выше расчёта 2 раза: обновить ПМ. ",IF(AND(AA8&lt;-Настройки!$B$41,N(AB7)&lt;-Настройки!$B$41),"ПМ ниже расчёта 2 раза: проверить ПМ. ","")))))</f>
        <v/>
      </c>
    </row>
    <row r="9" customFormat="false" ht="15" hidden="false" customHeight="false" outlineLevel="0" collapsed="false">
      <c r="A9" s="12"/>
      <c r="B9" s="13" t="n">
        <f aca="false">IF(5&lt;6*IF(Настройки!$B$8="С-Л-Т",3,4),INT(5/IF(Настройки!$B$8="С-Л-Т",3,4))+1,"")</f>
        <v>2</v>
      </c>
      <c r="C9" s="13" t="str">
        <f aca="false">IF(B9="","",IF(Настройки!$B$8="С-Л-Т",CHOOSE(MOD(5,3)+1,"С","Л","Т"),CHOOSE(MOD(5,4)+1,"М","С","Л","Т")))</f>
        <v>Т</v>
      </c>
      <c r="D9" s="6"/>
      <c r="E9" s="6"/>
      <c r="F9" s="6"/>
      <c r="G9" s="6"/>
      <c r="H9" s="6"/>
      <c r="I9" s="6"/>
      <c r="J9" s="13" t="str">
        <f aca="false">IF(D9="","",LOOKUP(D9,Настройки!$A$21:$A$24,Настройки!$B$21:$B$24))</f>
        <v/>
      </c>
      <c r="K9" s="14" t="n">
        <f aca="false">IF(OR(D9="",C9=""),0,LOOKUP(D9,Настройки!$A$21:$A$24,INDEX(Настройки!$C$21:$F$24,0,MATCH(C9,Настройки!$A$13:$A$16,0))))</f>
        <v>0</v>
      </c>
      <c r="L9" s="14" t="n">
        <f aca="false">IF(E9="",0,LOOKUP(E9,Настройки!$A$29:$A$33,Настройки!$B$29:$B$33))+IF(F9="",0,LOOKUP(F9,Настройки!$A$29:$A$33,Настройки!$B$29:$B$33))+IF(G9="",0,LOOKUP(G9,Настройки!$A$29:$A$33,Настройки!$B$29:$B$33))</f>
        <v>0</v>
      </c>
      <c r="M9" s="14" t="n">
        <f aca="false">MIN(Настройки!$B$37,K9+L9)</f>
        <v>0</v>
      </c>
      <c r="N9" s="15" t="str">
        <f aca="false">IF(C9="","",IF(H9="да","Пропуск: инфекция",IF(I9="да","К тренеру, не тренироваться",IF(OR(IF(D9="","Нет",LOOKUP(D9,Настройки!$A$21:$A$24,Настройки!$G$21:$G$24))="Только Л",M9&gt;=Настройки!$B$39),"Лёгкий день",IF(AND(C9="Т",OR(IF(D9="","Нет",LOOKUP(D9,Настройки!$A$21:$A$24,Настройки!$G$21:$G$24))="Т на С",M9&gt;=Настройки!$B$38)),"Т на С с низкими %",IF(M9&gt;0,"Снижение","По плану"))))))</f>
        <v>По плану</v>
      </c>
      <c r="O9" s="13" t="str">
        <f aca="false">IF(C9="","",IF(LEFT(N9,6)="Пропус","",IF(N9="К тренеру, не тренироваться","",IF(N9="Лёгкий день","Л",IF(N9="Т на С с низкими %","С",C9)))))</f>
        <v>Т</v>
      </c>
      <c r="P9" s="13" t="n">
        <f aca="false">IF(OR(N9="",N9="По плану"),0,1)</f>
        <v>0</v>
      </c>
      <c r="Q9" s="13" t="n">
        <f aca="false">COUNTIFS($C$4:C8,C9,$P$4:P8,1)</f>
        <v>0</v>
      </c>
      <c r="R9" s="13" t="n">
        <f aca="false">IF(B9="","",MAX(1,B9-Q9))</f>
        <v>2</v>
      </c>
      <c r="S9" s="14" t="n">
        <f aca="false">IF(C9="","",IF(R9&lt;=3,INDEX(Настройки!$B$13:$B$16,MATCH(C9,Настройки!$A$13:$A$16,0))+Настройки!$B$7*(R9-1),IF(R9=4,INDEX(Настройки!$C$13:$C$16,MATCH(C9,Настройки!$A$13:$A$16,0)),"Новый цикл")))</f>
        <v>0.96</v>
      </c>
      <c r="T9" s="14" t="n">
        <f aca="false">IF(OR(O9="",NOT(ISNUMBER(S9))),"",IF(N9="Т на С с низкими %",(INDEX(Настройки!$B$13:$B$16,2)+Настройки!$B$7*(MIN(R9,3)-1))-Настройки!$B$40,IF(N9="Лёгкий день",MIN(S9,(INDEX(Настройки!$B$13:$B$16,3)+Настройки!$B$7*(MIN(R9,3)-1)))-IF(C9="Л",M9,0),S9-M9)))</f>
        <v>0.96</v>
      </c>
      <c r="U9" s="16" t="n">
        <f aca="false">IF(ISNUMBER(T9),ROUND(Настройки!$B$5*T9/Настройки!$B$6,0)*Настройки!$B$6,"")</f>
        <v>157.5</v>
      </c>
      <c r="V9" s="15" t="str">
        <f aca="false">IF(O9="","",IF(NOT(ISNUMBER(S9)),S9,IF(O9="Л",INDEX(Настройки!$D$13:$G$16,3,MIN(R9,4)),INDEX(Настройки!$D$13:$G$16,MATCH(O9,Настройки!$A$13:$A$16,0),MIN(R9,4)))&amp;IF(M9&gt;0," (подходов не меньше 4)","")))</f>
        <v>3 по 1 + 92%, 2 по 2</v>
      </c>
      <c r="W9" s="6"/>
      <c r="X9" s="6"/>
      <c r="Y9" s="6"/>
      <c r="Z9" s="16" t="str">
        <f aca="false">IF(AND(N(W9)&gt;0,N(X9)&gt;0,N(X9)+N(Y9)&lt;=10),W9*(1+(X9+N(Y9))/30),"")</f>
        <v/>
      </c>
      <c r="AA9" s="17" t="str">
        <f aca="false">IF(Z9="","",Z9/Настройки!$B$5-1)</f>
        <v/>
      </c>
      <c r="AB9" s="17" t="str">
        <f aca="false">IF(AA9="",AB8,AA9)</f>
        <v/>
      </c>
      <c r="AC9" s="15" t="str">
        <f aca="false">IF(C9="","",TRIM(IF(AND(P9=1,COUNTIFS($B$4:$B$27,B9-1,$P$4:$P$27,1)&gt;0),"Две поправки подряд: проверить ПМ или разгрузка. ","")&amp;IF(AA9="","",IF(AND(AA9&gt;Настройки!$B$41,N(AB8)&gt;Настройки!$B$41),"ПМ выше расчёта 2 раза: обновить ПМ. ",IF(AND(AA9&lt;-Настройки!$B$41,N(AB8)&lt;-Настройки!$B$41),"ПМ ниже расчёта 2 раза: проверить ПМ. ","")))))</f>
        <v/>
      </c>
    </row>
    <row r="10" customFormat="false" ht="15" hidden="false" customHeight="false" outlineLevel="0" collapsed="false">
      <c r="A10" s="12"/>
      <c r="B10" s="13" t="n">
        <f aca="false">IF(6&lt;6*IF(Настройки!$B$8="С-Л-Т",3,4),INT(6/IF(Настройки!$B$8="С-Л-Т",3,4))+1,"")</f>
        <v>3</v>
      </c>
      <c r="C10" s="13" t="str">
        <f aca="false">IF(B10="","",IF(Настройки!$B$8="С-Л-Т",CHOOSE(MOD(6,3)+1,"С","Л","Т"),CHOOSE(MOD(6,4)+1,"М","С","Л","Т")))</f>
        <v>С</v>
      </c>
      <c r="D10" s="6"/>
      <c r="E10" s="6"/>
      <c r="F10" s="6"/>
      <c r="G10" s="6"/>
      <c r="H10" s="6"/>
      <c r="I10" s="6"/>
      <c r="J10" s="13" t="str">
        <f aca="false">IF(D10="","",LOOKUP(D10,Настройки!$A$21:$A$24,Настройки!$B$21:$B$24))</f>
        <v/>
      </c>
      <c r="K10" s="14" t="n">
        <f aca="false">IF(OR(D10="",C10=""),0,LOOKUP(D10,Настройки!$A$21:$A$24,INDEX(Настройки!$C$21:$F$24,0,MATCH(C10,Настройки!$A$13:$A$16,0))))</f>
        <v>0</v>
      </c>
      <c r="L10" s="14" t="n">
        <f aca="false">IF(E10="",0,LOOKUP(E10,Настройки!$A$29:$A$33,Настройки!$B$29:$B$33))+IF(F10="",0,LOOKUP(F10,Настройки!$A$29:$A$33,Настройки!$B$29:$B$33))+IF(G10="",0,LOOKUP(G10,Настройки!$A$29:$A$33,Настройки!$B$29:$B$33))</f>
        <v>0</v>
      </c>
      <c r="M10" s="14" t="n">
        <f aca="false">MIN(Настройки!$B$37,K10+L10)</f>
        <v>0</v>
      </c>
      <c r="N10" s="15" t="str">
        <f aca="false">IF(C10="","",IF(H10="да","Пропуск: инфекция",IF(I10="да","К тренеру, не тренироваться",IF(OR(IF(D10="","Нет",LOOKUP(D10,Настройки!$A$21:$A$24,Настройки!$G$21:$G$24))="Только Л",M10&gt;=Настройки!$B$39),"Лёгкий день",IF(AND(C10="Т",OR(IF(D10="","Нет",LOOKUP(D10,Настройки!$A$21:$A$24,Настройки!$G$21:$G$24))="Т на С",M10&gt;=Настройки!$B$38)),"Т на С с низкими %",IF(M10&gt;0,"Снижение","По плану"))))))</f>
        <v>По плану</v>
      </c>
      <c r="O10" s="13" t="str">
        <f aca="false">IF(C10="","",IF(LEFT(N10,6)="Пропус","",IF(N10="К тренеру, не тренироваться","",IF(N10="Лёгкий день","Л",IF(N10="Т на С с низкими %","С",C10)))))</f>
        <v>С</v>
      </c>
      <c r="P10" s="13" t="n">
        <f aca="false">IF(OR(N10="",N10="По плану"),0,1)</f>
        <v>0</v>
      </c>
      <c r="Q10" s="13" t="n">
        <f aca="false">COUNTIFS($C$4:C9,C10,$P$4:P9,1)</f>
        <v>1</v>
      </c>
      <c r="R10" s="13" t="n">
        <f aca="false">IF(B10="","",MAX(1,B10-Q10))</f>
        <v>2</v>
      </c>
      <c r="S10" s="14" t="n">
        <f aca="false">IF(C10="","",IF(R10&lt;=3,INDEX(Настройки!$B$13:$B$16,MATCH(C10,Настройки!$A$13:$A$16,0))+Настройки!$B$7*(R10-1),IF(R10=4,INDEX(Настройки!$C$13:$C$16,MATCH(C10,Настройки!$A$13:$A$16,0)),"Новый цикл")))</f>
        <v>0.84</v>
      </c>
      <c r="T10" s="14" t="n">
        <f aca="false">IF(OR(O10="",NOT(ISNUMBER(S10))),"",IF(N10="Т на С с низкими %",(INDEX(Настройки!$B$13:$B$16,2)+Настройки!$B$7*(MIN(R10,3)-1))-Настройки!$B$40,IF(N10="Лёгкий день",MIN(S10,(INDEX(Настройки!$B$13:$B$16,3)+Настройки!$B$7*(MIN(R10,3)-1)))-IF(C10="Л",M10,0),S10-M10)))</f>
        <v>0.84</v>
      </c>
      <c r="U10" s="16" t="n">
        <f aca="false">IF(ISNUMBER(T10),ROUND(Настройки!$B$5*T10/Настройки!$B$6,0)*Настройки!$B$6,"")</f>
        <v>137.5</v>
      </c>
      <c r="V10" s="15" t="str">
        <f aca="false">IF(O10="","",IF(NOT(ISNUMBER(S10)),S10,IF(O10="Л",INDEX(Настройки!$D$13:$G$16,3,MIN(R10,4)),INDEX(Настройки!$D$13:$G$16,MATCH(O10,Настройки!$A$13:$A$16,0),MIN(R10,4)))&amp;IF(M10&gt;0," (подходов не меньше 4)","")))</f>
        <v>5 по 3</v>
      </c>
      <c r="W10" s="6"/>
      <c r="X10" s="6"/>
      <c r="Y10" s="6"/>
      <c r="Z10" s="16" t="str">
        <f aca="false">IF(AND(N(W10)&gt;0,N(X10)&gt;0,N(X10)+N(Y10)&lt;=10),W10*(1+(X10+N(Y10))/30),"")</f>
        <v/>
      </c>
      <c r="AA10" s="17" t="str">
        <f aca="false">IF(Z10="","",Z10/Настройки!$B$5-1)</f>
        <v/>
      </c>
      <c r="AB10" s="17" t="str">
        <f aca="false">IF(AA10="",AB9,AA10)</f>
        <v/>
      </c>
      <c r="AC10" s="15" t="str">
        <f aca="false">IF(C10="","",TRIM(IF(AND(P10=1,COUNTIFS($B$4:$B$27,B10-1,$P$4:$P$27,1)&gt;0),"Две поправки подряд: проверить ПМ или разгрузка. ","")&amp;IF(AA10="","",IF(AND(AA10&gt;Настройки!$B$41,N(AB9)&gt;Настройки!$B$41),"ПМ выше расчёта 2 раза: обновить ПМ. ",IF(AND(AA10&lt;-Настройки!$B$41,N(AB9)&lt;-Настройки!$B$41),"ПМ ниже расчёта 2 раза: проверить ПМ. ","")))))</f>
        <v/>
      </c>
    </row>
    <row r="11" customFormat="false" ht="15" hidden="false" customHeight="false" outlineLevel="0" collapsed="false">
      <c r="A11" s="12"/>
      <c r="B11" s="13" t="n">
        <f aca="false">IF(7&lt;6*IF(Настройки!$B$8="С-Л-Т",3,4),INT(7/IF(Настройки!$B$8="С-Л-Т",3,4))+1,"")</f>
        <v>3</v>
      </c>
      <c r="C11" s="13" t="str">
        <f aca="false">IF(B11="","",IF(Настройки!$B$8="С-Л-Т",CHOOSE(MOD(7,3)+1,"С","Л","Т"),CHOOSE(MOD(7,4)+1,"М","С","Л","Т")))</f>
        <v>Л</v>
      </c>
      <c r="D11" s="6"/>
      <c r="E11" s="6"/>
      <c r="F11" s="6"/>
      <c r="G11" s="6"/>
      <c r="H11" s="6"/>
      <c r="I11" s="6"/>
      <c r="J11" s="13" t="str">
        <f aca="false">IF(D11="","",LOOKUP(D11,Настройки!$A$21:$A$24,Настройки!$B$21:$B$24))</f>
        <v/>
      </c>
      <c r="K11" s="14" t="n">
        <f aca="false">IF(OR(D11="",C11=""),0,LOOKUP(D11,Настройки!$A$21:$A$24,INDEX(Настройки!$C$21:$F$24,0,MATCH(C11,Настройки!$A$13:$A$16,0))))</f>
        <v>0</v>
      </c>
      <c r="L11" s="14" t="n">
        <f aca="false">IF(E11="",0,LOOKUP(E11,Настройки!$A$29:$A$33,Настройки!$B$29:$B$33))+IF(F11="",0,LOOKUP(F11,Настройки!$A$29:$A$33,Настройки!$B$29:$B$33))+IF(G11="",0,LOOKUP(G11,Настройки!$A$29:$A$33,Настройки!$B$29:$B$33))</f>
        <v>0</v>
      </c>
      <c r="M11" s="14" t="n">
        <f aca="false">MIN(Настройки!$B$37,K11+L11)</f>
        <v>0</v>
      </c>
      <c r="N11" s="15" t="str">
        <f aca="false">IF(C11="","",IF(H11="да","Пропуск: инфекция",IF(I11="да","К тренеру, не тренироваться",IF(OR(IF(D11="","Нет",LOOKUP(D11,Настройки!$A$21:$A$24,Настройки!$G$21:$G$24))="Только Л",M11&gt;=Настройки!$B$39),"Лёгкий день",IF(AND(C11="Т",OR(IF(D11="","Нет",LOOKUP(D11,Настройки!$A$21:$A$24,Настройки!$G$21:$G$24))="Т на С",M11&gt;=Настройки!$B$38)),"Т на С с низкими %",IF(M11&gt;0,"Снижение","По плану"))))))</f>
        <v>По плану</v>
      </c>
      <c r="O11" s="13" t="str">
        <f aca="false">IF(C11="","",IF(LEFT(N11,6)="Пропус","",IF(N11="К тренеру, не тренироваться","",IF(N11="Лёгкий день","Л",IF(N11="Т на С с низкими %","С",C11)))))</f>
        <v>Л</v>
      </c>
      <c r="P11" s="13" t="n">
        <f aca="false">IF(OR(N11="",N11="По плану"),0,1)</f>
        <v>0</v>
      </c>
      <c r="Q11" s="13" t="n">
        <f aca="false">COUNTIFS($C$4:C10,C11,$P$4:P10,1)</f>
        <v>0</v>
      </c>
      <c r="R11" s="13" t="n">
        <f aca="false">IF(B11="","",MAX(1,B11-Q11))</f>
        <v>3</v>
      </c>
      <c r="S11" s="14" t="n">
        <f aca="false">IF(C11="","",IF(R11&lt;=3,INDEX(Настройки!$B$13:$B$16,MATCH(C11,Настройки!$A$13:$A$16,0))+Настройки!$B$7*(R11-1),IF(R11=4,INDEX(Настройки!$C$13:$C$16,MATCH(C11,Настройки!$A$13:$A$16,0)),"Новый цикл")))</f>
        <v>0.65</v>
      </c>
      <c r="T11" s="14" t="n">
        <f aca="false">IF(OR(O11="",NOT(ISNUMBER(S11))),"",IF(N11="Т на С с низкими %",(INDEX(Настройки!$B$13:$B$16,2)+Настройки!$B$7*(MIN(R11,3)-1))-Настройки!$B$40,IF(N11="Лёгкий день",MIN(S11,(INDEX(Настройки!$B$13:$B$16,3)+Настройки!$B$7*(MIN(R11,3)-1)))-IF(C11="Л",M11,0),S11-M11)))</f>
        <v>0.65</v>
      </c>
      <c r="U11" s="16" t="n">
        <f aca="false">IF(ISNUMBER(T11),ROUND(Настройки!$B$5*T11/Настройки!$B$6,0)*Настройки!$B$6,"")</f>
        <v>107.5</v>
      </c>
      <c r="V11" s="15" t="str">
        <f aca="false">IF(O11="","",IF(NOT(ISNUMBER(S11)),S11,IF(O11="Л",INDEX(Настройки!$D$13:$G$16,3,MIN(R11,4)),INDEX(Настройки!$D$13:$G$16,MATCH(O11,Настройки!$A$13:$A$16,0),MIN(R11,4)))&amp;IF(M11&gt;0," (подходов не меньше 4)","")))</f>
        <v>4 по 6</v>
      </c>
      <c r="W11" s="6"/>
      <c r="X11" s="6"/>
      <c r="Y11" s="6"/>
      <c r="Z11" s="16" t="str">
        <f aca="false">IF(AND(N(W11)&gt;0,N(X11)&gt;0,N(X11)+N(Y11)&lt;=10),W11*(1+(X11+N(Y11))/30),"")</f>
        <v/>
      </c>
      <c r="AA11" s="17" t="str">
        <f aca="false">IF(Z11="","",Z11/Настройки!$B$5-1)</f>
        <v/>
      </c>
      <c r="AB11" s="17" t="str">
        <f aca="false">IF(AA11="",AB10,AA11)</f>
        <v/>
      </c>
      <c r="AC11" s="15" t="str">
        <f aca="false">IF(C11="","",TRIM(IF(AND(P11=1,COUNTIFS($B$4:$B$27,B11-1,$P$4:$P$27,1)&gt;0),"Две поправки подряд: проверить ПМ или разгрузка. ","")&amp;IF(AA11="","",IF(AND(AA11&gt;Настройки!$B$41,N(AB10)&gt;Настройки!$B$41),"ПМ выше расчёта 2 раза: обновить ПМ. ",IF(AND(AA11&lt;-Настройки!$B$41,N(AB10)&lt;-Настройки!$B$41),"ПМ ниже расчёта 2 раза: проверить ПМ. ","")))))</f>
        <v/>
      </c>
    </row>
    <row r="12" customFormat="false" ht="15" hidden="false" customHeight="false" outlineLevel="0" collapsed="false">
      <c r="A12" s="12"/>
      <c r="B12" s="13" t="n">
        <f aca="false">IF(8&lt;6*IF(Настройки!$B$8="С-Л-Т",3,4),INT(8/IF(Настройки!$B$8="С-Л-Т",3,4))+1,"")</f>
        <v>3</v>
      </c>
      <c r="C12" s="13" t="str">
        <f aca="false">IF(B12="","",IF(Настройки!$B$8="С-Л-Т",CHOOSE(MOD(8,3)+1,"С","Л","Т"),CHOOSE(MOD(8,4)+1,"М","С","Л","Т")))</f>
        <v>Т</v>
      </c>
      <c r="D12" s="6"/>
      <c r="E12" s="6"/>
      <c r="F12" s="6"/>
      <c r="G12" s="6"/>
      <c r="H12" s="6"/>
      <c r="I12" s="6"/>
      <c r="J12" s="13" t="str">
        <f aca="false">IF(D12="","",LOOKUP(D12,Настройки!$A$21:$A$24,Настройки!$B$21:$B$24))</f>
        <v/>
      </c>
      <c r="K12" s="14" t="n">
        <f aca="false">IF(OR(D12="",C12=""),0,LOOKUP(D12,Настройки!$A$21:$A$24,INDEX(Настройки!$C$21:$F$24,0,MATCH(C12,Настройки!$A$13:$A$16,0))))</f>
        <v>0</v>
      </c>
      <c r="L12" s="14" t="n">
        <f aca="false">IF(E12="",0,LOOKUP(E12,Настройки!$A$29:$A$33,Настройки!$B$29:$B$33))+IF(F12="",0,LOOKUP(F12,Настройки!$A$29:$A$33,Настройки!$B$29:$B$33))+IF(G12="",0,LOOKUP(G12,Настройки!$A$29:$A$33,Настройки!$B$29:$B$33))</f>
        <v>0</v>
      </c>
      <c r="M12" s="14" t="n">
        <f aca="false">MIN(Настройки!$B$37,K12+L12)</f>
        <v>0</v>
      </c>
      <c r="N12" s="15" t="str">
        <f aca="false">IF(C12="","",IF(H12="да","Пропуск: инфекция",IF(I12="да","К тренеру, не тренироваться",IF(OR(IF(D12="","Нет",LOOKUP(D12,Настройки!$A$21:$A$24,Настройки!$G$21:$G$24))="Только Л",M12&gt;=Настройки!$B$39),"Лёгкий день",IF(AND(C12="Т",OR(IF(D12="","Нет",LOOKUP(D12,Настройки!$A$21:$A$24,Настройки!$G$21:$G$24))="Т на С",M12&gt;=Настройки!$B$38)),"Т на С с низкими %",IF(M12&gt;0,"Снижение","По плану"))))))</f>
        <v>По плану</v>
      </c>
      <c r="O12" s="13" t="str">
        <f aca="false">IF(C12="","",IF(LEFT(N12,6)="Пропус","",IF(N12="К тренеру, не тренироваться","",IF(N12="Лёгкий день","Л",IF(N12="Т на С с низкими %","С",C12)))))</f>
        <v>Т</v>
      </c>
      <c r="P12" s="13" t="n">
        <f aca="false">IF(OR(N12="",N12="По плану"),0,1)</f>
        <v>0</v>
      </c>
      <c r="Q12" s="13" t="n">
        <f aca="false">COUNTIFS($C$4:C11,C12,$P$4:P11,1)</f>
        <v>0</v>
      </c>
      <c r="R12" s="13" t="n">
        <f aca="false">IF(B12="","",MAX(1,B12-Q12))</f>
        <v>3</v>
      </c>
      <c r="S12" s="14" t="n">
        <f aca="false">IF(C12="","",IF(R12&lt;=3,INDEX(Настройки!$B$13:$B$16,MATCH(C12,Настройки!$A$13:$A$16,0))+Настройки!$B$7*(R12-1),IF(R12=4,INDEX(Настройки!$C$13:$C$16,MATCH(C12,Настройки!$A$13:$A$16,0)),"Новый цикл")))</f>
        <v>1</v>
      </c>
      <c r="T12" s="14" t="n">
        <f aca="false">IF(OR(O12="",NOT(ISNUMBER(S12))),"",IF(N12="Т на С с низкими %",(INDEX(Настройки!$B$13:$B$16,2)+Настройки!$B$7*(MIN(R12,3)-1))-Настройки!$B$40,IF(N12="Лёгкий день",MIN(S12,(INDEX(Настройки!$B$13:$B$16,3)+Настройки!$B$7*(MIN(R12,3)-1)))-IF(C12="Л",M12,0),S12-M12)))</f>
        <v>1</v>
      </c>
      <c r="U12" s="16" t="n">
        <f aca="false">IF(ISNUMBER(T12),ROUND(Настройки!$B$5*T12/Настройки!$B$6,0)*Настройки!$B$6,"")</f>
        <v>165</v>
      </c>
      <c r="V12" s="15" t="str">
        <f aca="false">IF(O12="","",IF(NOT(ISNUMBER(S12)),S12,IF(O12="Л",INDEX(Настройки!$D$13:$G$16,3,MIN(R12,4)),INDEX(Настройки!$D$13:$G$16,MATCH(O12,Настройки!$A$13:$A$16,0),MIN(R12,4)))&amp;IF(M12&gt;0," (подходов не меньше 4)","")))</f>
        <v>3 по 1 + 92%, 2 по 2</v>
      </c>
      <c r="W12" s="6"/>
      <c r="X12" s="6"/>
      <c r="Y12" s="6"/>
      <c r="Z12" s="16" t="str">
        <f aca="false">IF(AND(N(W12)&gt;0,N(X12)&gt;0,N(X12)+N(Y12)&lt;=10),W12*(1+(X12+N(Y12))/30),"")</f>
        <v/>
      </c>
      <c r="AA12" s="17" t="str">
        <f aca="false">IF(Z12="","",Z12/Настройки!$B$5-1)</f>
        <v/>
      </c>
      <c r="AB12" s="17" t="str">
        <f aca="false">IF(AA12="",AB11,AA12)</f>
        <v/>
      </c>
      <c r="AC12" s="15" t="str">
        <f aca="false">IF(C12="","",TRIM(IF(AND(P12=1,COUNTIFS($B$4:$B$27,B12-1,$P$4:$P$27,1)&gt;0),"Две поправки подряд: проверить ПМ или разгрузка. ","")&amp;IF(AA12="","",IF(AND(AA12&gt;Настройки!$B$41,N(AB11)&gt;Настройки!$B$41),"ПМ выше расчёта 2 раза: обновить ПМ. ",IF(AND(AA12&lt;-Настройки!$B$41,N(AB11)&lt;-Настройки!$B$41),"ПМ ниже расчёта 2 раза: проверить ПМ. ","")))))</f>
        <v/>
      </c>
    </row>
    <row r="13" customFormat="false" ht="15" hidden="false" customHeight="false" outlineLevel="0" collapsed="false">
      <c r="A13" s="12"/>
      <c r="B13" s="13" t="n">
        <f aca="false">IF(9&lt;6*IF(Настройки!$B$8="С-Л-Т",3,4),INT(9/IF(Настройки!$B$8="С-Л-Т",3,4))+1,"")</f>
        <v>4</v>
      </c>
      <c r="C13" s="13" t="str">
        <f aca="false">IF(B13="","",IF(Настройки!$B$8="С-Л-Т",CHOOSE(MOD(9,3)+1,"С","Л","Т"),CHOOSE(MOD(9,4)+1,"М","С","Л","Т")))</f>
        <v>С</v>
      </c>
      <c r="D13" s="6"/>
      <c r="E13" s="6"/>
      <c r="F13" s="6"/>
      <c r="G13" s="6"/>
      <c r="H13" s="6"/>
      <c r="I13" s="6"/>
      <c r="J13" s="13" t="str">
        <f aca="false">IF(D13="","",LOOKUP(D13,Настройки!$A$21:$A$24,Настройки!$B$21:$B$24))</f>
        <v/>
      </c>
      <c r="K13" s="14" t="n">
        <f aca="false">IF(OR(D13="",C13=""),0,LOOKUP(D13,Настройки!$A$21:$A$24,INDEX(Настройки!$C$21:$F$24,0,MATCH(C13,Настройки!$A$13:$A$16,0))))</f>
        <v>0</v>
      </c>
      <c r="L13" s="14" t="n">
        <f aca="false">IF(E13="",0,LOOKUP(E13,Настройки!$A$29:$A$33,Настройки!$B$29:$B$33))+IF(F13="",0,LOOKUP(F13,Настройки!$A$29:$A$33,Настройки!$B$29:$B$33))+IF(G13="",0,LOOKUP(G13,Настройки!$A$29:$A$33,Настройки!$B$29:$B$33))</f>
        <v>0</v>
      </c>
      <c r="M13" s="14" t="n">
        <f aca="false">MIN(Настройки!$B$37,K13+L13)</f>
        <v>0</v>
      </c>
      <c r="N13" s="15" t="str">
        <f aca="false">IF(C13="","",IF(H13="да","Пропуск: инфекция",IF(I13="да","К тренеру, не тренироваться",IF(OR(IF(D13="","Нет",LOOKUP(D13,Настройки!$A$21:$A$24,Настройки!$G$21:$G$24))="Только Л",M13&gt;=Настройки!$B$39),"Лёгкий день",IF(AND(C13="Т",OR(IF(D13="","Нет",LOOKUP(D13,Настройки!$A$21:$A$24,Настройки!$G$21:$G$24))="Т на С",M13&gt;=Настройки!$B$38)),"Т на С с низкими %",IF(M13&gt;0,"Снижение","По плану"))))))</f>
        <v>По плану</v>
      </c>
      <c r="O13" s="13" t="str">
        <f aca="false">IF(C13="","",IF(LEFT(N13,6)="Пропус","",IF(N13="К тренеру, не тренироваться","",IF(N13="Лёгкий день","Л",IF(N13="Т на С с низкими %","С",C13)))))</f>
        <v>С</v>
      </c>
      <c r="P13" s="13" t="n">
        <f aca="false">IF(OR(N13="",N13="По плану"),0,1)</f>
        <v>0</v>
      </c>
      <c r="Q13" s="13" t="n">
        <f aca="false">COUNTIFS($C$4:C12,C13,$P$4:P12,1)</f>
        <v>1</v>
      </c>
      <c r="R13" s="13" t="n">
        <f aca="false">IF(B13="","",MAX(1,B13-Q13))</f>
        <v>3</v>
      </c>
      <c r="S13" s="14" t="n">
        <f aca="false">IF(C13="","",IF(R13&lt;=3,INDEX(Настройки!$B$13:$B$16,MATCH(C13,Настройки!$A$13:$A$16,0))+Настройки!$B$7*(R13-1),IF(R13=4,INDEX(Настройки!$C$13:$C$16,MATCH(C13,Настройки!$A$13:$A$16,0)),"Новый цикл")))</f>
        <v>0.88</v>
      </c>
      <c r="T13" s="14" t="n">
        <f aca="false">IF(OR(O13="",NOT(ISNUMBER(S13))),"",IF(N13="Т на С с низкими %",(INDEX(Настройки!$B$13:$B$16,2)+Настройки!$B$7*(MIN(R13,3)-1))-Настройки!$B$40,IF(N13="Лёгкий день",MIN(S13,(INDEX(Настройки!$B$13:$B$16,3)+Настройки!$B$7*(MIN(R13,3)-1)))-IF(C13="Л",M13,0),S13-M13)))</f>
        <v>0.88</v>
      </c>
      <c r="U13" s="16" t="n">
        <f aca="false">IF(ISNUMBER(T13),ROUND(Настройки!$B$5*T13/Настройки!$B$6,0)*Настройки!$B$6,"")</f>
        <v>145</v>
      </c>
      <c r="V13" s="15" t="str">
        <f aca="false">IF(O13="","",IF(NOT(ISNUMBER(S13)),S13,IF(O13="Л",INDEX(Настройки!$D$13:$G$16,3,MIN(R13,4)),INDEX(Настройки!$D$13:$G$16,MATCH(O13,Настройки!$A$13:$A$16,0),MIN(R13,4)))&amp;IF(M13&gt;0," (подходов не меньше 4)","")))</f>
        <v>7 по 2</v>
      </c>
      <c r="W13" s="6"/>
      <c r="X13" s="6"/>
      <c r="Y13" s="6"/>
      <c r="Z13" s="16" t="str">
        <f aca="false">IF(AND(N(W13)&gt;0,N(X13)&gt;0,N(X13)+N(Y13)&lt;=10),W13*(1+(X13+N(Y13))/30),"")</f>
        <v/>
      </c>
      <c r="AA13" s="17" t="str">
        <f aca="false">IF(Z13="","",Z13/Настройки!$B$5-1)</f>
        <v/>
      </c>
      <c r="AB13" s="17" t="str">
        <f aca="false">IF(AA13="",AB12,AA13)</f>
        <v/>
      </c>
      <c r="AC13" s="15" t="str">
        <f aca="false">IF(C13="","",TRIM(IF(AND(P13=1,COUNTIFS($B$4:$B$27,B13-1,$P$4:$P$27,1)&gt;0),"Две поправки подряд: проверить ПМ или разгрузка. ","")&amp;IF(AA13="","",IF(AND(AA13&gt;Настройки!$B$41,N(AB12)&gt;Настройки!$B$41),"ПМ выше расчёта 2 раза: обновить ПМ. ",IF(AND(AA13&lt;-Настройки!$B$41,N(AB12)&lt;-Настройки!$B$41),"ПМ ниже расчёта 2 раза: проверить ПМ. ","")))))</f>
        <v/>
      </c>
    </row>
    <row r="14" customFormat="false" ht="15" hidden="false" customHeight="false" outlineLevel="0" collapsed="false">
      <c r="A14" s="12"/>
      <c r="B14" s="13" t="n">
        <f aca="false">IF(10&lt;6*IF(Настройки!$B$8="С-Л-Т",3,4),INT(10/IF(Настройки!$B$8="С-Л-Т",3,4))+1,"")</f>
        <v>4</v>
      </c>
      <c r="C14" s="13" t="str">
        <f aca="false">IF(B14="","",IF(Настройки!$B$8="С-Л-Т",CHOOSE(MOD(10,3)+1,"С","Л","Т"),CHOOSE(MOD(10,4)+1,"М","С","Л","Т")))</f>
        <v>Л</v>
      </c>
      <c r="D14" s="6"/>
      <c r="E14" s="6"/>
      <c r="F14" s="6"/>
      <c r="G14" s="6"/>
      <c r="H14" s="6"/>
      <c r="I14" s="6"/>
      <c r="J14" s="13" t="str">
        <f aca="false">IF(D14="","",LOOKUP(D14,Настройки!$A$21:$A$24,Настройки!$B$21:$B$24))</f>
        <v/>
      </c>
      <c r="K14" s="14" t="n">
        <f aca="false">IF(OR(D14="",C14=""),0,LOOKUP(D14,Настройки!$A$21:$A$24,INDEX(Настройки!$C$21:$F$24,0,MATCH(C14,Настройки!$A$13:$A$16,0))))</f>
        <v>0</v>
      </c>
      <c r="L14" s="14" t="n">
        <f aca="false">IF(E14="",0,LOOKUP(E14,Настройки!$A$29:$A$33,Настройки!$B$29:$B$33))+IF(F14="",0,LOOKUP(F14,Настройки!$A$29:$A$33,Настройки!$B$29:$B$33))+IF(G14="",0,LOOKUP(G14,Настройки!$A$29:$A$33,Настройки!$B$29:$B$33))</f>
        <v>0</v>
      </c>
      <c r="M14" s="14" t="n">
        <f aca="false">MIN(Настройки!$B$37,K14+L14)</f>
        <v>0</v>
      </c>
      <c r="N14" s="15" t="str">
        <f aca="false">IF(C14="","",IF(H14="да","Пропуск: инфекция",IF(I14="да","К тренеру, не тренироваться",IF(OR(IF(D14="","Нет",LOOKUP(D14,Настройки!$A$21:$A$24,Настройки!$G$21:$G$24))="Только Л",M14&gt;=Настройки!$B$39),"Лёгкий день",IF(AND(C14="Т",OR(IF(D14="","Нет",LOOKUP(D14,Настройки!$A$21:$A$24,Настройки!$G$21:$G$24))="Т на С",M14&gt;=Настройки!$B$38)),"Т на С с низкими %",IF(M14&gt;0,"Снижение","По плану"))))))</f>
        <v>По плану</v>
      </c>
      <c r="O14" s="13" t="str">
        <f aca="false">IF(C14="","",IF(LEFT(N14,6)="Пропус","",IF(N14="К тренеру, не тренироваться","",IF(N14="Лёгкий день","Л",IF(N14="Т на С с низкими %","С",C14)))))</f>
        <v>Л</v>
      </c>
      <c r="P14" s="13" t="n">
        <f aca="false">IF(OR(N14="",N14="По плану"),0,1)</f>
        <v>0</v>
      </c>
      <c r="Q14" s="13" t="n">
        <f aca="false">COUNTIFS($C$4:C13,C14,$P$4:P13,1)</f>
        <v>0</v>
      </c>
      <c r="R14" s="13" t="n">
        <f aca="false">IF(B14="","",MAX(1,B14-Q14))</f>
        <v>4</v>
      </c>
      <c r="S14" s="14" t="n">
        <f aca="false">IF(C14="","",IF(R14&lt;=3,INDEX(Настройки!$B$13:$B$16,MATCH(C14,Настройки!$A$13:$A$16,0))+Настройки!$B$7*(R14-1),IF(R14=4,INDEX(Настройки!$C$13:$C$16,MATCH(C14,Настройки!$A$13:$A$16,0)),"Новый цикл")))</f>
        <v>0.57</v>
      </c>
      <c r="T14" s="14" t="n">
        <f aca="false">IF(OR(O14="",NOT(ISNUMBER(S14))),"",IF(N14="Т на С с низкими %",(INDEX(Настройки!$B$13:$B$16,2)+Настройки!$B$7*(MIN(R14,3)-1))-Настройки!$B$40,IF(N14="Лёгкий день",MIN(S14,(INDEX(Настройки!$B$13:$B$16,3)+Настройки!$B$7*(MIN(R14,3)-1)))-IF(C14="Л",M14,0),S14-M14)))</f>
        <v>0.57</v>
      </c>
      <c r="U14" s="16" t="n">
        <f aca="false">IF(ISNUMBER(T14),ROUND(Настройки!$B$5*T14/Настройки!$B$6,0)*Настройки!$B$6,"")</f>
        <v>95</v>
      </c>
      <c r="V14" s="15" t="str">
        <f aca="false">IF(O14="","",IF(NOT(ISNUMBER(S14)),S14,IF(O14="Л",INDEX(Настройки!$D$13:$G$16,3,MIN(R14,4)),INDEX(Настройки!$D$13:$G$16,MATCH(O14,Настройки!$A$13:$A$16,0),MIN(R14,4)))&amp;IF(M14&gt;0," (подходов не меньше 4)","")))</f>
        <v>4 по 3</v>
      </c>
      <c r="W14" s="6"/>
      <c r="X14" s="6"/>
      <c r="Y14" s="6"/>
      <c r="Z14" s="16" t="str">
        <f aca="false">IF(AND(N(W14)&gt;0,N(X14)&gt;0,N(X14)+N(Y14)&lt;=10),W14*(1+(X14+N(Y14))/30),"")</f>
        <v/>
      </c>
      <c r="AA14" s="17" t="str">
        <f aca="false">IF(Z14="","",Z14/Настройки!$B$5-1)</f>
        <v/>
      </c>
      <c r="AB14" s="17" t="str">
        <f aca="false">IF(AA14="",AB13,AA14)</f>
        <v/>
      </c>
      <c r="AC14" s="15" t="str">
        <f aca="false">IF(C14="","",TRIM(IF(AND(P14=1,COUNTIFS($B$4:$B$27,B14-1,$P$4:$P$27,1)&gt;0),"Две поправки подряд: проверить ПМ или разгрузка. ","")&amp;IF(AA14="","",IF(AND(AA14&gt;Настройки!$B$41,N(AB13)&gt;Настройки!$B$41),"ПМ выше расчёта 2 раза: обновить ПМ. ",IF(AND(AA14&lt;-Настройки!$B$41,N(AB13)&lt;-Настройки!$B$41),"ПМ ниже расчёта 2 раза: проверить ПМ. ","")))))</f>
        <v/>
      </c>
    </row>
    <row r="15" customFormat="false" ht="23.85" hidden="false" customHeight="false" outlineLevel="0" collapsed="false">
      <c r="A15" s="12"/>
      <c r="B15" s="13" t="n">
        <f aca="false">IF(11&lt;6*IF(Настройки!$B$8="С-Л-Т",3,4),INT(11/IF(Настройки!$B$8="С-Л-Т",3,4))+1,"")</f>
        <v>4</v>
      </c>
      <c r="C15" s="13" t="str">
        <f aca="false">IF(B15="","",IF(Настройки!$B$8="С-Л-Т",CHOOSE(MOD(11,3)+1,"С","Л","Т"),CHOOSE(MOD(11,4)+1,"М","С","Л","Т")))</f>
        <v>Т</v>
      </c>
      <c r="D15" s="6"/>
      <c r="E15" s="6"/>
      <c r="F15" s="6"/>
      <c r="G15" s="6"/>
      <c r="H15" s="6"/>
      <c r="I15" s="6"/>
      <c r="J15" s="13" t="str">
        <f aca="false">IF(D15="","",LOOKUP(D15,Настройки!$A$21:$A$24,Настройки!$B$21:$B$24))</f>
        <v/>
      </c>
      <c r="K15" s="14" t="n">
        <f aca="false">IF(OR(D15="",C15=""),0,LOOKUP(D15,Настройки!$A$21:$A$24,INDEX(Настройки!$C$21:$F$24,0,MATCH(C15,Настройки!$A$13:$A$16,0))))</f>
        <v>0</v>
      </c>
      <c r="L15" s="14" t="n">
        <f aca="false">IF(E15="",0,LOOKUP(E15,Настройки!$A$29:$A$33,Настройки!$B$29:$B$33))+IF(F15="",0,LOOKUP(F15,Настройки!$A$29:$A$33,Настройки!$B$29:$B$33))+IF(G15="",0,LOOKUP(G15,Настройки!$A$29:$A$33,Настройки!$B$29:$B$33))</f>
        <v>0</v>
      </c>
      <c r="M15" s="14" t="n">
        <f aca="false">MIN(Настройки!$B$37,K15+L15)</f>
        <v>0</v>
      </c>
      <c r="N15" s="15" t="str">
        <f aca="false">IF(C15="","",IF(H15="да","Пропуск: инфекция",IF(I15="да","К тренеру, не тренироваться",IF(OR(IF(D15="","Нет",LOOKUP(D15,Настройки!$A$21:$A$24,Настройки!$G$21:$G$24))="Только Л",M15&gt;=Настройки!$B$39),"Лёгкий день",IF(AND(C15="Т",OR(IF(D15="","Нет",LOOKUP(D15,Настройки!$A$21:$A$24,Настройки!$G$21:$G$24))="Т на С",M15&gt;=Настройки!$B$38)),"Т на С с низкими %",IF(M15&gt;0,"Снижение","По плану"))))))</f>
        <v>По плану</v>
      </c>
      <c r="O15" s="13" t="str">
        <f aca="false">IF(C15="","",IF(LEFT(N15,6)="Пропус","",IF(N15="К тренеру, не тренироваться","",IF(N15="Лёгкий день","Л",IF(N15="Т на С с низкими %","С",C15)))))</f>
        <v>Т</v>
      </c>
      <c r="P15" s="13" t="n">
        <f aca="false">IF(OR(N15="",N15="По плану"),0,1)</f>
        <v>0</v>
      </c>
      <c r="Q15" s="13" t="n">
        <f aca="false">COUNTIFS($C$4:C14,C15,$P$4:P14,1)</f>
        <v>0</v>
      </c>
      <c r="R15" s="13" t="n">
        <f aca="false">IF(B15="","",MAX(1,B15-Q15))</f>
        <v>4</v>
      </c>
      <c r="S15" s="14" t="str">
        <f aca="false">IF(C15="","",IF(R15&lt;=3,INDEX(Настройки!$B$13:$B$16,MATCH(C15,Настройки!$A$13:$A$16,0))+Настройки!$B$7*(R15-1),IF(R15=4,INDEX(Настройки!$C$13:$C$16,MATCH(C15,Настройки!$A$13:$A$16,0)),"Новый цикл")))</f>
        <v>Проходка</v>
      </c>
      <c r="T15" s="14" t="str">
        <f aca="false">IF(OR(O15="",NOT(ISNUMBER(S15))),"",IF(N15="Т на С с низкими %",(INDEX(Настройки!$B$13:$B$16,2)+Настройки!$B$7*(MIN(R15,3)-1))-Настройки!$B$40,IF(N15="Лёгкий день",MIN(S15,(INDEX(Настройки!$B$13:$B$16,3)+Настройки!$B$7*(MIN(R15,3)-1)))-IF(C15="Л",M15,0),S15-M15)))</f>
        <v/>
      </c>
      <c r="U15" s="16" t="str">
        <f aca="false">IF(ISNUMBER(T15),ROUND(Настройки!$B$5*T15/Настройки!$B$6,0)*Настройки!$B$6,"")</f>
        <v/>
      </c>
      <c r="V15" s="15" t="str">
        <f aca="false">IF(O15="","",IF(NOT(ISNUMBER(S15)),S15,IF(O15="Л",INDEX(Настройки!$D$13:$G$16,3,MIN(R15,4)),INDEX(Настройки!$D$13:$G$16,MATCH(O15,Настройки!$A$13:$A$16,0),MIN(R15,4)))&amp;IF(M15&gt;0," (подходов не меньше 4)","")))</f>
        <v>Проходка</v>
      </c>
      <c r="W15" s="6"/>
      <c r="X15" s="6"/>
      <c r="Y15" s="6"/>
      <c r="Z15" s="16" t="str">
        <f aca="false">IF(AND(N(W15)&gt;0,N(X15)&gt;0,N(X15)+N(Y15)&lt;=10),W15*(1+(X15+N(Y15))/30),"")</f>
        <v/>
      </c>
      <c r="AA15" s="17" t="str">
        <f aca="false">IF(Z15="","",Z15/Настройки!$B$5-1)</f>
        <v/>
      </c>
      <c r="AB15" s="17" t="str">
        <f aca="false">IF(AA15="",AB14,AA15)</f>
        <v/>
      </c>
      <c r="AC15" s="15" t="str">
        <f aca="false">IF(C15="","",TRIM(IF(AND(P15=1,COUNTIFS($B$4:$B$27,B15-1,$P$4:$P$27,1)&gt;0),"Две поправки подряд: проверить ПМ или разгрузка. ","")&amp;IF(AA15="","",IF(AND(AA15&gt;Настройки!$B$41,N(AB14)&gt;Настройки!$B$41),"ПМ выше расчёта 2 раза: обновить ПМ. ",IF(AND(AA15&lt;-Настройки!$B$41,N(AB14)&lt;-Настройки!$B$41),"ПМ ниже расчёта 2 раза: проверить ПМ. ","")))))</f>
        <v/>
      </c>
    </row>
    <row r="16" customFormat="false" ht="15" hidden="false" customHeight="false" outlineLevel="0" collapsed="false">
      <c r="A16" s="12"/>
      <c r="B16" s="13" t="n">
        <f aca="false">IF(12&lt;6*IF(Настройки!$B$8="С-Л-Т",3,4),INT(12/IF(Настройки!$B$8="С-Л-Т",3,4))+1,"")</f>
        <v>5</v>
      </c>
      <c r="C16" s="13" t="str">
        <f aca="false">IF(B16="","",IF(Настройки!$B$8="С-Л-Т",CHOOSE(MOD(12,3)+1,"С","Л","Т"),CHOOSE(MOD(12,4)+1,"М","С","Л","Т")))</f>
        <v>С</v>
      </c>
      <c r="D16" s="6"/>
      <c r="E16" s="6"/>
      <c r="F16" s="6"/>
      <c r="G16" s="6"/>
      <c r="H16" s="6"/>
      <c r="I16" s="6"/>
      <c r="J16" s="13" t="str">
        <f aca="false">IF(D16="","",LOOKUP(D16,Настройки!$A$21:$A$24,Настройки!$B$21:$B$24))</f>
        <v/>
      </c>
      <c r="K16" s="14" t="n">
        <f aca="false">IF(OR(D16="",C16=""),0,LOOKUP(D16,Настройки!$A$21:$A$24,INDEX(Настройки!$C$21:$F$24,0,MATCH(C16,Настройки!$A$13:$A$16,0))))</f>
        <v>0</v>
      </c>
      <c r="L16" s="14" t="n">
        <f aca="false">IF(E16="",0,LOOKUP(E16,Настройки!$A$29:$A$33,Настройки!$B$29:$B$33))+IF(F16="",0,LOOKUP(F16,Настройки!$A$29:$A$33,Настройки!$B$29:$B$33))+IF(G16="",0,LOOKUP(G16,Настройки!$A$29:$A$33,Настройки!$B$29:$B$33))</f>
        <v>0</v>
      </c>
      <c r="M16" s="14" t="n">
        <f aca="false">MIN(Настройки!$B$37,K16+L16)</f>
        <v>0</v>
      </c>
      <c r="N16" s="15" t="str">
        <f aca="false">IF(C16="","",IF(H16="да","Пропуск: инфекция",IF(I16="да","К тренеру, не тренироваться",IF(OR(IF(D16="","Нет",LOOKUP(D16,Настройки!$A$21:$A$24,Настройки!$G$21:$G$24))="Только Л",M16&gt;=Настройки!$B$39),"Лёгкий день",IF(AND(C16="Т",OR(IF(D16="","Нет",LOOKUP(D16,Настройки!$A$21:$A$24,Настройки!$G$21:$G$24))="Т на С",M16&gt;=Настройки!$B$38)),"Т на С с низкими %",IF(M16&gt;0,"Снижение","По плану"))))))</f>
        <v>По плану</v>
      </c>
      <c r="O16" s="13" t="str">
        <f aca="false">IF(C16="","",IF(LEFT(N16,6)="Пропус","",IF(N16="К тренеру, не тренироваться","",IF(N16="Лёгкий день","Л",IF(N16="Т на С с низкими %","С",C16)))))</f>
        <v>С</v>
      </c>
      <c r="P16" s="13" t="n">
        <f aca="false">IF(OR(N16="",N16="По плану"),0,1)</f>
        <v>0</v>
      </c>
      <c r="Q16" s="13" t="n">
        <f aca="false">COUNTIFS($C$4:C15,C16,$P$4:P15,1)</f>
        <v>1</v>
      </c>
      <c r="R16" s="13" t="n">
        <f aca="false">IF(B16="","",MAX(1,B16-Q16))</f>
        <v>4</v>
      </c>
      <c r="S16" s="14" t="n">
        <f aca="false">IF(C16="","",IF(R16&lt;=3,INDEX(Настройки!$B$13:$B$16,MATCH(C16,Настройки!$A$13:$A$16,0))+Настройки!$B$7*(R16-1),IF(R16=4,INDEX(Настройки!$C$13:$C$16,MATCH(C16,Настройки!$A$13:$A$16,0)),"Новый цикл")))</f>
        <v>0.8</v>
      </c>
      <c r="T16" s="14" t="n">
        <f aca="false">IF(OR(O16="",NOT(ISNUMBER(S16))),"",IF(N16="Т на С с низкими %",(INDEX(Настройки!$B$13:$B$16,2)+Настройки!$B$7*(MIN(R16,3)-1))-Настройки!$B$40,IF(N16="Лёгкий день",MIN(S16,(INDEX(Настройки!$B$13:$B$16,3)+Настройки!$B$7*(MIN(R16,3)-1)))-IF(C16="Л",M16,0),S16-M16)))</f>
        <v>0.8</v>
      </c>
      <c r="U16" s="16" t="n">
        <f aca="false">IF(ISNUMBER(T16),ROUND(Настройки!$B$5*T16/Настройки!$B$6,0)*Настройки!$B$6,"")</f>
        <v>132.5</v>
      </c>
      <c r="V16" s="15" t="str">
        <f aca="false">IF(O16="","",IF(NOT(ISNUMBER(S16)),S16,IF(O16="Л",INDEX(Настройки!$D$13:$G$16,3,MIN(R16,4)),INDEX(Настройки!$D$13:$G$16,MATCH(O16,Настройки!$A$13:$A$16,0),MIN(R16,4)))&amp;IF(M16&gt;0," (подходов не меньше 4)","")))</f>
        <v>4 по 2</v>
      </c>
      <c r="W16" s="6"/>
      <c r="X16" s="6"/>
      <c r="Y16" s="6"/>
      <c r="Z16" s="16" t="str">
        <f aca="false">IF(AND(N(W16)&gt;0,N(X16)&gt;0,N(X16)+N(Y16)&lt;=10),W16*(1+(X16+N(Y16))/30),"")</f>
        <v/>
      </c>
      <c r="AA16" s="17" t="str">
        <f aca="false">IF(Z16="","",Z16/Настройки!$B$5-1)</f>
        <v/>
      </c>
      <c r="AB16" s="17" t="str">
        <f aca="false">IF(AA16="",AB15,AA16)</f>
        <v/>
      </c>
      <c r="AC16" s="15" t="str">
        <f aca="false">IF(C16="","",TRIM(IF(AND(P16=1,COUNTIFS($B$4:$B$27,B16-1,$P$4:$P$27,1)&gt;0),"Две поправки подряд: проверить ПМ или разгрузка. ","")&amp;IF(AA16="","",IF(AND(AA16&gt;Настройки!$B$41,N(AB15)&gt;Настройки!$B$41),"ПМ выше расчёта 2 раза: обновить ПМ. ",IF(AND(AA16&lt;-Настройки!$B$41,N(AB15)&lt;-Настройки!$B$41),"ПМ ниже расчёта 2 раза: проверить ПМ. ","")))))</f>
        <v/>
      </c>
    </row>
    <row r="17" customFormat="false" ht="23.85" hidden="false" customHeight="false" outlineLevel="0" collapsed="false">
      <c r="A17" s="12"/>
      <c r="B17" s="13" t="n">
        <f aca="false">IF(13&lt;6*IF(Настройки!$B$8="С-Л-Т",3,4),INT(13/IF(Настройки!$B$8="С-Л-Т",3,4))+1,"")</f>
        <v>5</v>
      </c>
      <c r="C17" s="13" t="str">
        <f aca="false">IF(B17="","",IF(Настройки!$B$8="С-Л-Т",CHOOSE(MOD(13,3)+1,"С","Л","Т"),CHOOSE(MOD(13,4)+1,"М","С","Л","Т")))</f>
        <v>Л</v>
      </c>
      <c r="D17" s="6"/>
      <c r="E17" s="6"/>
      <c r="F17" s="6"/>
      <c r="G17" s="6"/>
      <c r="H17" s="6"/>
      <c r="I17" s="6"/>
      <c r="J17" s="13" t="str">
        <f aca="false">IF(D17="","",LOOKUP(D17,Настройки!$A$21:$A$24,Настройки!$B$21:$B$24))</f>
        <v/>
      </c>
      <c r="K17" s="14" t="n">
        <f aca="false">IF(OR(D17="",C17=""),0,LOOKUP(D17,Настройки!$A$21:$A$24,INDEX(Настройки!$C$21:$F$24,0,MATCH(C17,Настройки!$A$13:$A$16,0))))</f>
        <v>0</v>
      </c>
      <c r="L17" s="14" t="n">
        <f aca="false">IF(E17="",0,LOOKUP(E17,Настройки!$A$29:$A$33,Настройки!$B$29:$B$33))+IF(F17="",0,LOOKUP(F17,Настройки!$A$29:$A$33,Настройки!$B$29:$B$33))+IF(G17="",0,LOOKUP(G17,Настройки!$A$29:$A$33,Настройки!$B$29:$B$33))</f>
        <v>0</v>
      </c>
      <c r="M17" s="14" t="n">
        <f aca="false">MIN(Настройки!$B$37,K17+L17)</f>
        <v>0</v>
      </c>
      <c r="N17" s="15" t="str">
        <f aca="false">IF(C17="","",IF(H17="да","Пропуск: инфекция",IF(I17="да","К тренеру, не тренироваться",IF(OR(IF(D17="","Нет",LOOKUP(D17,Настройки!$A$21:$A$24,Настройки!$G$21:$G$24))="Только Л",M17&gt;=Настройки!$B$39),"Лёгкий день",IF(AND(C17="Т",OR(IF(D17="","Нет",LOOKUP(D17,Настройки!$A$21:$A$24,Настройки!$G$21:$G$24))="Т на С",M17&gt;=Настройки!$B$38)),"Т на С с низкими %",IF(M17&gt;0,"Снижение","По плану"))))))</f>
        <v>По плану</v>
      </c>
      <c r="O17" s="13" t="str">
        <f aca="false">IF(C17="","",IF(LEFT(N17,6)="Пропус","",IF(N17="К тренеру, не тренироваться","",IF(N17="Лёгкий день","Л",IF(N17="Т на С с низкими %","С",C17)))))</f>
        <v>Л</v>
      </c>
      <c r="P17" s="13" t="n">
        <f aca="false">IF(OR(N17="",N17="По плану"),0,1)</f>
        <v>0</v>
      </c>
      <c r="Q17" s="13" t="n">
        <f aca="false">COUNTIFS($C$4:C16,C17,$P$4:P16,1)</f>
        <v>0</v>
      </c>
      <c r="R17" s="13" t="n">
        <f aca="false">IF(B17="","",MAX(1,B17-Q17))</f>
        <v>5</v>
      </c>
      <c r="S17" s="14" t="str">
        <f aca="false">IF(C17="","",IF(R17&lt;=3,INDEX(Настройки!$B$13:$B$16,MATCH(C17,Настройки!$A$13:$A$16,0))+Настройки!$B$7*(R17-1),IF(R17=4,INDEX(Настройки!$C$13:$C$16,MATCH(C17,Настройки!$A$13:$A$16,0)),"Новый цикл")))</f>
        <v>Новый цикл</v>
      </c>
      <c r="T17" s="14" t="str">
        <f aca="false">IF(OR(O17="",NOT(ISNUMBER(S17))),"",IF(N17="Т на С с низкими %",(INDEX(Настройки!$B$13:$B$16,2)+Настройки!$B$7*(MIN(R17,3)-1))-Настройки!$B$40,IF(N17="Лёгкий день",MIN(S17,(INDEX(Настройки!$B$13:$B$16,3)+Настройки!$B$7*(MIN(R17,3)-1)))-IF(C17="Л",M17,0),S17-M17)))</f>
        <v/>
      </c>
      <c r="U17" s="16" t="str">
        <f aca="false">IF(ISNUMBER(T17),ROUND(Настройки!$B$5*T17/Настройки!$B$6,0)*Настройки!$B$6,"")</f>
        <v/>
      </c>
      <c r="V17" s="15" t="str">
        <f aca="false">IF(O17="","",IF(NOT(ISNUMBER(S17)),S17,IF(O17="Л",INDEX(Настройки!$D$13:$G$16,3,MIN(R17,4)),INDEX(Настройки!$D$13:$G$16,MATCH(O17,Настройки!$A$13:$A$16,0),MIN(R17,4)))&amp;IF(M17&gt;0," (подходов не меньше 4)","")))</f>
        <v>Новый цикл</v>
      </c>
      <c r="W17" s="6"/>
      <c r="X17" s="6"/>
      <c r="Y17" s="6"/>
      <c r="Z17" s="16" t="str">
        <f aca="false">IF(AND(N(W17)&gt;0,N(X17)&gt;0,N(X17)+N(Y17)&lt;=10),W17*(1+(X17+N(Y17))/30),"")</f>
        <v/>
      </c>
      <c r="AA17" s="17" t="str">
        <f aca="false">IF(Z17="","",Z17/Настройки!$B$5-1)</f>
        <v/>
      </c>
      <c r="AB17" s="17" t="str">
        <f aca="false">IF(AA17="",AB16,AA17)</f>
        <v/>
      </c>
      <c r="AC17" s="15" t="str">
        <f aca="false">IF(C17="","",TRIM(IF(AND(P17=1,COUNTIFS($B$4:$B$27,B17-1,$P$4:$P$27,1)&gt;0),"Две поправки подряд: проверить ПМ или разгрузка. ","")&amp;IF(AA17="","",IF(AND(AA17&gt;Настройки!$B$41,N(AB16)&gt;Настройки!$B$41),"ПМ выше расчёта 2 раза: обновить ПМ. ",IF(AND(AA17&lt;-Настройки!$B$41,N(AB16)&lt;-Настройки!$B$41),"ПМ ниже расчёта 2 раза: проверить ПМ. ","")))))</f>
        <v/>
      </c>
    </row>
    <row r="18" customFormat="false" ht="23.85" hidden="false" customHeight="false" outlineLevel="0" collapsed="false">
      <c r="A18" s="12"/>
      <c r="B18" s="13" t="n">
        <f aca="false">IF(14&lt;6*IF(Настройки!$B$8="С-Л-Т",3,4),INT(14/IF(Настройки!$B$8="С-Л-Т",3,4))+1,"")</f>
        <v>5</v>
      </c>
      <c r="C18" s="13" t="str">
        <f aca="false">IF(B18="","",IF(Настройки!$B$8="С-Л-Т",CHOOSE(MOD(14,3)+1,"С","Л","Т"),CHOOSE(MOD(14,4)+1,"М","С","Л","Т")))</f>
        <v>Т</v>
      </c>
      <c r="D18" s="6"/>
      <c r="E18" s="6"/>
      <c r="F18" s="6"/>
      <c r="G18" s="6"/>
      <c r="H18" s="6"/>
      <c r="I18" s="6"/>
      <c r="J18" s="13" t="str">
        <f aca="false">IF(D18="","",LOOKUP(D18,Настройки!$A$21:$A$24,Настройки!$B$21:$B$24))</f>
        <v/>
      </c>
      <c r="K18" s="14" t="n">
        <f aca="false">IF(OR(D18="",C18=""),0,LOOKUP(D18,Настройки!$A$21:$A$24,INDEX(Настройки!$C$21:$F$24,0,MATCH(C18,Настройки!$A$13:$A$16,0))))</f>
        <v>0</v>
      </c>
      <c r="L18" s="14" t="n">
        <f aca="false">IF(E18="",0,LOOKUP(E18,Настройки!$A$29:$A$33,Настройки!$B$29:$B$33))+IF(F18="",0,LOOKUP(F18,Настройки!$A$29:$A$33,Настройки!$B$29:$B$33))+IF(G18="",0,LOOKUP(G18,Настройки!$A$29:$A$33,Настройки!$B$29:$B$33))</f>
        <v>0</v>
      </c>
      <c r="M18" s="14" t="n">
        <f aca="false">MIN(Настройки!$B$37,K18+L18)</f>
        <v>0</v>
      </c>
      <c r="N18" s="15" t="str">
        <f aca="false">IF(C18="","",IF(H18="да","Пропуск: инфекция",IF(I18="да","К тренеру, не тренироваться",IF(OR(IF(D18="","Нет",LOOKUP(D18,Настройки!$A$21:$A$24,Настройки!$G$21:$G$24))="Только Л",M18&gt;=Настройки!$B$39),"Лёгкий день",IF(AND(C18="Т",OR(IF(D18="","Нет",LOOKUP(D18,Настройки!$A$21:$A$24,Настройки!$G$21:$G$24))="Т на С",M18&gt;=Настройки!$B$38)),"Т на С с низкими %",IF(M18&gt;0,"Снижение","По плану"))))))</f>
        <v>По плану</v>
      </c>
      <c r="O18" s="13" t="str">
        <f aca="false">IF(C18="","",IF(LEFT(N18,6)="Пропус","",IF(N18="К тренеру, не тренироваться","",IF(N18="Лёгкий день","Л",IF(N18="Т на С с низкими %","С",C18)))))</f>
        <v>Т</v>
      </c>
      <c r="P18" s="13" t="n">
        <f aca="false">IF(OR(N18="",N18="По плану"),0,1)</f>
        <v>0</v>
      </c>
      <c r="Q18" s="13" t="n">
        <f aca="false">COUNTIFS($C$4:C17,C18,$P$4:P17,1)</f>
        <v>0</v>
      </c>
      <c r="R18" s="13" t="n">
        <f aca="false">IF(B18="","",MAX(1,B18-Q18))</f>
        <v>5</v>
      </c>
      <c r="S18" s="14" t="str">
        <f aca="false">IF(C18="","",IF(R18&lt;=3,INDEX(Настройки!$B$13:$B$16,MATCH(C18,Настройки!$A$13:$A$16,0))+Настройки!$B$7*(R18-1),IF(R18=4,INDEX(Настройки!$C$13:$C$16,MATCH(C18,Настройки!$A$13:$A$16,0)),"Новый цикл")))</f>
        <v>Новый цикл</v>
      </c>
      <c r="T18" s="14" t="str">
        <f aca="false">IF(OR(O18="",NOT(ISNUMBER(S18))),"",IF(N18="Т на С с низкими %",(INDEX(Настройки!$B$13:$B$16,2)+Настройки!$B$7*(MIN(R18,3)-1))-Настройки!$B$40,IF(N18="Лёгкий день",MIN(S18,(INDEX(Настройки!$B$13:$B$16,3)+Настройки!$B$7*(MIN(R18,3)-1)))-IF(C18="Л",M18,0),S18-M18)))</f>
        <v/>
      </c>
      <c r="U18" s="16" t="str">
        <f aca="false">IF(ISNUMBER(T18),ROUND(Настройки!$B$5*T18/Настройки!$B$6,0)*Настройки!$B$6,"")</f>
        <v/>
      </c>
      <c r="V18" s="15" t="str">
        <f aca="false">IF(O18="","",IF(NOT(ISNUMBER(S18)),S18,IF(O18="Л",INDEX(Настройки!$D$13:$G$16,3,MIN(R18,4)),INDEX(Настройки!$D$13:$G$16,MATCH(O18,Настройки!$A$13:$A$16,0),MIN(R18,4)))&amp;IF(M18&gt;0," (подходов не меньше 4)","")))</f>
        <v>Новый цикл</v>
      </c>
      <c r="W18" s="6"/>
      <c r="X18" s="6"/>
      <c r="Y18" s="6"/>
      <c r="Z18" s="16" t="str">
        <f aca="false">IF(AND(N(W18)&gt;0,N(X18)&gt;0,N(X18)+N(Y18)&lt;=10),W18*(1+(X18+N(Y18))/30),"")</f>
        <v/>
      </c>
      <c r="AA18" s="17" t="str">
        <f aca="false">IF(Z18="","",Z18/Настройки!$B$5-1)</f>
        <v/>
      </c>
      <c r="AB18" s="17" t="str">
        <f aca="false">IF(AA18="",AB17,AA18)</f>
        <v/>
      </c>
      <c r="AC18" s="15" t="str">
        <f aca="false">IF(C18="","",TRIM(IF(AND(P18=1,COUNTIFS($B$4:$B$27,B18-1,$P$4:$P$27,1)&gt;0),"Две поправки подряд: проверить ПМ или разгрузка. ","")&amp;IF(AA18="","",IF(AND(AA18&gt;Настройки!$B$41,N(AB17)&gt;Настройки!$B$41),"ПМ выше расчёта 2 раза: обновить ПМ. ",IF(AND(AA18&lt;-Настройки!$B$41,N(AB17)&lt;-Настройки!$B$41),"ПМ ниже расчёта 2 раза: проверить ПМ. ","")))))</f>
        <v/>
      </c>
    </row>
    <row r="19" customFormat="false" ht="23.85" hidden="false" customHeight="false" outlineLevel="0" collapsed="false">
      <c r="A19" s="12"/>
      <c r="B19" s="13" t="n">
        <f aca="false">IF(15&lt;6*IF(Настройки!$B$8="С-Л-Т",3,4),INT(15/IF(Настройки!$B$8="С-Л-Т",3,4))+1,"")</f>
        <v>6</v>
      </c>
      <c r="C19" s="13" t="str">
        <f aca="false">IF(B19="","",IF(Настройки!$B$8="С-Л-Т",CHOOSE(MOD(15,3)+1,"С","Л","Т"),CHOOSE(MOD(15,4)+1,"М","С","Л","Т")))</f>
        <v>С</v>
      </c>
      <c r="D19" s="6"/>
      <c r="E19" s="6"/>
      <c r="F19" s="6"/>
      <c r="G19" s="6"/>
      <c r="H19" s="6"/>
      <c r="I19" s="6"/>
      <c r="J19" s="13" t="str">
        <f aca="false">IF(D19="","",LOOKUP(D19,Настройки!$A$21:$A$24,Настройки!$B$21:$B$24))</f>
        <v/>
      </c>
      <c r="K19" s="14" t="n">
        <f aca="false">IF(OR(D19="",C19=""),0,LOOKUP(D19,Настройки!$A$21:$A$24,INDEX(Настройки!$C$21:$F$24,0,MATCH(C19,Настройки!$A$13:$A$16,0))))</f>
        <v>0</v>
      </c>
      <c r="L19" s="14" t="n">
        <f aca="false">IF(E19="",0,LOOKUP(E19,Настройки!$A$29:$A$33,Настройки!$B$29:$B$33))+IF(F19="",0,LOOKUP(F19,Настройки!$A$29:$A$33,Настройки!$B$29:$B$33))+IF(G19="",0,LOOKUP(G19,Настройки!$A$29:$A$33,Настройки!$B$29:$B$33))</f>
        <v>0</v>
      </c>
      <c r="M19" s="14" t="n">
        <f aca="false">MIN(Настройки!$B$37,K19+L19)</f>
        <v>0</v>
      </c>
      <c r="N19" s="15" t="str">
        <f aca="false">IF(C19="","",IF(H19="да","Пропуск: инфекция",IF(I19="да","К тренеру, не тренироваться",IF(OR(IF(D19="","Нет",LOOKUP(D19,Настройки!$A$21:$A$24,Настройки!$G$21:$G$24))="Только Л",M19&gt;=Настройки!$B$39),"Лёгкий день",IF(AND(C19="Т",OR(IF(D19="","Нет",LOOKUP(D19,Настройки!$A$21:$A$24,Настройки!$G$21:$G$24))="Т на С",M19&gt;=Настройки!$B$38)),"Т на С с низкими %",IF(M19&gt;0,"Снижение","По плану"))))))</f>
        <v>По плану</v>
      </c>
      <c r="O19" s="13" t="str">
        <f aca="false">IF(C19="","",IF(LEFT(N19,6)="Пропус","",IF(N19="К тренеру, не тренироваться","",IF(N19="Лёгкий день","Л",IF(N19="Т на С с низкими %","С",C19)))))</f>
        <v>С</v>
      </c>
      <c r="P19" s="13" t="n">
        <f aca="false">IF(OR(N19="",N19="По плану"),0,1)</f>
        <v>0</v>
      </c>
      <c r="Q19" s="13" t="n">
        <f aca="false">COUNTIFS($C$4:C18,C19,$P$4:P18,1)</f>
        <v>1</v>
      </c>
      <c r="R19" s="13" t="n">
        <f aca="false">IF(B19="","",MAX(1,B19-Q19))</f>
        <v>5</v>
      </c>
      <c r="S19" s="14" t="str">
        <f aca="false">IF(C19="","",IF(R19&lt;=3,INDEX(Настройки!$B$13:$B$16,MATCH(C19,Настройки!$A$13:$A$16,0))+Настройки!$B$7*(R19-1),IF(R19=4,INDEX(Настройки!$C$13:$C$16,MATCH(C19,Настройки!$A$13:$A$16,0)),"Новый цикл")))</f>
        <v>Новый цикл</v>
      </c>
      <c r="T19" s="14" t="str">
        <f aca="false">IF(OR(O19="",NOT(ISNUMBER(S19))),"",IF(N19="Т на С с низкими %",(INDEX(Настройки!$B$13:$B$16,2)+Настройки!$B$7*(MIN(R19,3)-1))-Настройки!$B$40,IF(N19="Лёгкий день",MIN(S19,(INDEX(Настройки!$B$13:$B$16,3)+Настройки!$B$7*(MIN(R19,3)-1)))-IF(C19="Л",M19,0),S19-M19)))</f>
        <v/>
      </c>
      <c r="U19" s="16" t="str">
        <f aca="false">IF(ISNUMBER(T19),ROUND(Настройки!$B$5*T19/Настройки!$B$6,0)*Настройки!$B$6,"")</f>
        <v/>
      </c>
      <c r="V19" s="15" t="str">
        <f aca="false">IF(O19="","",IF(NOT(ISNUMBER(S19)),S19,IF(O19="Л",INDEX(Настройки!$D$13:$G$16,3,MIN(R19,4)),INDEX(Настройки!$D$13:$G$16,MATCH(O19,Настройки!$A$13:$A$16,0),MIN(R19,4)))&amp;IF(M19&gt;0," (подходов не меньше 4)","")))</f>
        <v>Новый цикл</v>
      </c>
      <c r="W19" s="6"/>
      <c r="X19" s="6"/>
      <c r="Y19" s="6"/>
      <c r="Z19" s="16" t="str">
        <f aca="false">IF(AND(N(W19)&gt;0,N(X19)&gt;0,N(X19)+N(Y19)&lt;=10),W19*(1+(X19+N(Y19))/30),"")</f>
        <v/>
      </c>
      <c r="AA19" s="17" t="str">
        <f aca="false">IF(Z19="","",Z19/Настройки!$B$5-1)</f>
        <v/>
      </c>
      <c r="AB19" s="17" t="str">
        <f aca="false">IF(AA19="",AB18,AA19)</f>
        <v/>
      </c>
      <c r="AC19" s="15" t="str">
        <f aca="false">IF(C19="","",TRIM(IF(AND(P19=1,COUNTIFS($B$4:$B$27,B19-1,$P$4:$P$27,1)&gt;0),"Две поправки подряд: проверить ПМ или разгрузка. ","")&amp;IF(AA19="","",IF(AND(AA19&gt;Настройки!$B$41,N(AB18)&gt;Настройки!$B$41),"ПМ выше расчёта 2 раза: обновить ПМ. ",IF(AND(AA19&lt;-Настройки!$B$41,N(AB18)&lt;-Настройки!$B$41),"ПМ ниже расчёта 2 раза: проверить ПМ. ","")))))</f>
        <v/>
      </c>
    </row>
    <row r="20" customFormat="false" ht="23.85" hidden="false" customHeight="false" outlineLevel="0" collapsed="false">
      <c r="A20" s="12"/>
      <c r="B20" s="13" t="n">
        <f aca="false">IF(16&lt;6*IF(Настройки!$B$8="С-Л-Т",3,4),INT(16/IF(Настройки!$B$8="С-Л-Т",3,4))+1,"")</f>
        <v>6</v>
      </c>
      <c r="C20" s="13" t="str">
        <f aca="false">IF(B20="","",IF(Настройки!$B$8="С-Л-Т",CHOOSE(MOD(16,3)+1,"С","Л","Т"),CHOOSE(MOD(16,4)+1,"М","С","Л","Т")))</f>
        <v>Л</v>
      </c>
      <c r="D20" s="6"/>
      <c r="E20" s="6"/>
      <c r="F20" s="6"/>
      <c r="G20" s="6"/>
      <c r="H20" s="6"/>
      <c r="I20" s="6"/>
      <c r="J20" s="13" t="str">
        <f aca="false">IF(D20="","",LOOKUP(D20,Настройки!$A$21:$A$24,Настройки!$B$21:$B$24))</f>
        <v/>
      </c>
      <c r="K20" s="14" t="n">
        <f aca="false">IF(OR(D20="",C20=""),0,LOOKUP(D20,Настройки!$A$21:$A$24,INDEX(Настройки!$C$21:$F$24,0,MATCH(C20,Настройки!$A$13:$A$16,0))))</f>
        <v>0</v>
      </c>
      <c r="L20" s="14" t="n">
        <f aca="false">IF(E20="",0,LOOKUP(E20,Настройки!$A$29:$A$33,Настройки!$B$29:$B$33))+IF(F20="",0,LOOKUP(F20,Настройки!$A$29:$A$33,Настройки!$B$29:$B$33))+IF(G20="",0,LOOKUP(G20,Настройки!$A$29:$A$33,Настройки!$B$29:$B$33))</f>
        <v>0</v>
      </c>
      <c r="M20" s="14" t="n">
        <f aca="false">MIN(Настройки!$B$37,K20+L20)</f>
        <v>0</v>
      </c>
      <c r="N20" s="15" t="str">
        <f aca="false">IF(C20="","",IF(H20="да","Пропуск: инфекция",IF(I20="да","К тренеру, не тренироваться",IF(OR(IF(D20="","Нет",LOOKUP(D20,Настройки!$A$21:$A$24,Настройки!$G$21:$G$24))="Только Л",M20&gt;=Настройки!$B$39),"Лёгкий день",IF(AND(C20="Т",OR(IF(D20="","Нет",LOOKUP(D20,Настройки!$A$21:$A$24,Настройки!$G$21:$G$24))="Т на С",M20&gt;=Настройки!$B$38)),"Т на С с низкими %",IF(M20&gt;0,"Снижение","По плану"))))))</f>
        <v>По плану</v>
      </c>
      <c r="O20" s="13" t="str">
        <f aca="false">IF(C20="","",IF(LEFT(N20,6)="Пропус","",IF(N20="К тренеру, не тренироваться","",IF(N20="Лёгкий день","Л",IF(N20="Т на С с низкими %","С",C20)))))</f>
        <v>Л</v>
      </c>
      <c r="P20" s="13" t="n">
        <f aca="false">IF(OR(N20="",N20="По плану"),0,1)</f>
        <v>0</v>
      </c>
      <c r="Q20" s="13" t="n">
        <f aca="false">COUNTIFS($C$4:C19,C20,$P$4:P19,1)</f>
        <v>0</v>
      </c>
      <c r="R20" s="13" t="n">
        <f aca="false">IF(B20="","",MAX(1,B20-Q20))</f>
        <v>6</v>
      </c>
      <c r="S20" s="14" t="str">
        <f aca="false">IF(C20="","",IF(R20&lt;=3,INDEX(Настройки!$B$13:$B$16,MATCH(C20,Настройки!$A$13:$A$16,0))+Настройки!$B$7*(R20-1),IF(R20=4,INDEX(Настройки!$C$13:$C$16,MATCH(C20,Настройки!$A$13:$A$16,0)),"Новый цикл")))</f>
        <v>Новый цикл</v>
      </c>
      <c r="T20" s="14" t="str">
        <f aca="false">IF(OR(O20="",NOT(ISNUMBER(S20))),"",IF(N20="Т на С с низкими %",(INDEX(Настройки!$B$13:$B$16,2)+Настройки!$B$7*(MIN(R20,3)-1))-Настройки!$B$40,IF(N20="Лёгкий день",MIN(S20,(INDEX(Настройки!$B$13:$B$16,3)+Настройки!$B$7*(MIN(R20,3)-1)))-IF(C20="Л",M20,0),S20-M20)))</f>
        <v/>
      </c>
      <c r="U20" s="16" t="str">
        <f aca="false">IF(ISNUMBER(T20),ROUND(Настройки!$B$5*T20/Настройки!$B$6,0)*Настройки!$B$6,"")</f>
        <v/>
      </c>
      <c r="V20" s="15" t="str">
        <f aca="false">IF(O20="","",IF(NOT(ISNUMBER(S20)),S20,IF(O20="Л",INDEX(Настройки!$D$13:$G$16,3,MIN(R20,4)),INDEX(Настройки!$D$13:$G$16,MATCH(O20,Настройки!$A$13:$A$16,0),MIN(R20,4)))&amp;IF(M20&gt;0," (подходов не меньше 4)","")))</f>
        <v>Новый цикл</v>
      </c>
      <c r="W20" s="6"/>
      <c r="X20" s="6"/>
      <c r="Y20" s="6"/>
      <c r="Z20" s="16" t="str">
        <f aca="false">IF(AND(N(W20)&gt;0,N(X20)&gt;0,N(X20)+N(Y20)&lt;=10),W20*(1+(X20+N(Y20))/30),"")</f>
        <v/>
      </c>
      <c r="AA20" s="17" t="str">
        <f aca="false">IF(Z20="","",Z20/Настройки!$B$5-1)</f>
        <v/>
      </c>
      <c r="AB20" s="17" t="str">
        <f aca="false">IF(AA20="",AB19,AA20)</f>
        <v/>
      </c>
      <c r="AC20" s="15" t="str">
        <f aca="false">IF(C20="","",TRIM(IF(AND(P20=1,COUNTIFS($B$4:$B$27,B20-1,$P$4:$P$27,1)&gt;0),"Две поправки подряд: проверить ПМ или разгрузка. ","")&amp;IF(AA20="","",IF(AND(AA20&gt;Настройки!$B$41,N(AB19)&gt;Настройки!$B$41),"ПМ выше расчёта 2 раза: обновить ПМ. ",IF(AND(AA20&lt;-Настройки!$B$41,N(AB19)&lt;-Настройки!$B$41),"ПМ ниже расчёта 2 раза: проверить ПМ. ","")))))</f>
        <v/>
      </c>
    </row>
    <row r="21" customFormat="false" ht="23.85" hidden="false" customHeight="false" outlineLevel="0" collapsed="false">
      <c r="A21" s="12"/>
      <c r="B21" s="13" t="n">
        <f aca="false">IF(17&lt;6*IF(Настройки!$B$8="С-Л-Т",3,4),INT(17/IF(Настройки!$B$8="С-Л-Т",3,4))+1,"")</f>
        <v>6</v>
      </c>
      <c r="C21" s="13" t="str">
        <f aca="false">IF(B21="","",IF(Настройки!$B$8="С-Л-Т",CHOOSE(MOD(17,3)+1,"С","Л","Т"),CHOOSE(MOD(17,4)+1,"М","С","Л","Т")))</f>
        <v>Т</v>
      </c>
      <c r="D21" s="6"/>
      <c r="E21" s="6"/>
      <c r="F21" s="6"/>
      <c r="G21" s="6"/>
      <c r="H21" s="6"/>
      <c r="I21" s="6"/>
      <c r="J21" s="13" t="str">
        <f aca="false">IF(D21="","",LOOKUP(D21,Настройки!$A$21:$A$24,Настройки!$B$21:$B$24))</f>
        <v/>
      </c>
      <c r="K21" s="14" t="n">
        <f aca="false">IF(OR(D21="",C21=""),0,LOOKUP(D21,Настройки!$A$21:$A$24,INDEX(Настройки!$C$21:$F$24,0,MATCH(C21,Настройки!$A$13:$A$16,0))))</f>
        <v>0</v>
      </c>
      <c r="L21" s="14" t="n">
        <f aca="false">IF(E21="",0,LOOKUP(E21,Настройки!$A$29:$A$33,Настройки!$B$29:$B$33))+IF(F21="",0,LOOKUP(F21,Настройки!$A$29:$A$33,Настройки!$B$29:$B$33))+IF(G21="",0,LOOKUP(G21,Настройки!$A$29:$A$33,Настройки!$B$29:$B$33))</f>
        <v>0</v>
      </c>
      <c r="M21" s="14" t="n">
        <f aca="false">MIN(Настройки!$B$37,K21+L21)</f>
        <v>0</v>
      </c>
      <c r="N21" s="15" t="str">
        <f aca="false">IF(C21="","",IF(H21="да","Пропуск: инфекция",IF(I21="да","К тренеру, не тренироваться",IF(OR(IF(D21="","Нет",LOOKUP(D21,Настройки!$A$21:$A$24,Настройки!$G$21:$G$24))="Только Л",M21&gt;=Настройки!$B$39),"Лёгкий день",IF(AND(C21="Т",OR(IF(D21="","Нет",LOOKUP(D21,Настройки!$A$21:$A$24,Настройки!$G$21:$G$24))="Т на С",M21&gt;=Настройки!$B$38)),"Т на С с низкими %",IF(M21&gt;0,"Снижение","По плану"))))))</f>
        <v>По плану</v>
      </c>
      <c r="O21" s="13" t="str">
        <f aca="false">IF(C21="","",IF(LEFT(N21,6)="Пропус","",IF(N21="К тренеру, не тренироваться","",IF(N21="Лёгкий день","Л",IF(N21="Т на С с низкими %","С",C21)))))</f>
        <v>Т</v>
      </c>
      <c r="P21" s="13" t="n">
        <f aca="false">IF(OR(N21="",N21="По плану"),0,1)</f>
        <v>0</v>
      </c>
      <c r="Q21" s="13" t="n">
        <f aca="false">COUNTIFS($C$4:C20,C21,$P$4:P20,1)</f>
        <v>0</v>
      </c>
      <c r="R21" s="13" t="n">
        <f aca="false">IF(B21="","",MAX(1,B21-Q21))</f>
        <v>6</v>
      </c>
      <c r="S21" s="14" t="str">
        <f aca="false">IF(C21="","",IF(R21&lt;=3,INDEX(Настройки!$B$13:$B$16,MATCH(C21,Настройки!$A$13:$A$16,0))+Настройки!$B$7*(R21-1),IF(R21=4,INDEX(Настройки!$C$13:$C$16,MATCH(C21,Настройки!$A$13:$A$16,0)),"Новый цикл")))</f>
        <v>Новый цикл</v>
      </c>
      <c r="T21" s="14" t="str">
        <f aca="false">IF(OR(O21="",NOT(ISNUMBER(S21))),"",IF(N21="Т на С с низкими %",(INDEX(Настройки!$B$13:$B$16,2)+Настройки!$B$7*(MIN(R21,3)-1))-Настройки!$B$40,IF(N21="Лёгкий день",MIN(S21,(INDEX(Настройки!$B$13:$B$16,3)+Настройки!$B$7*(MIN(R21,3)-1)))-IF(C21="Л",M21,0),S21-M21)))</f>
        <v/>
      </c>
      <c r="U21" s="16" t="str">
        <f aca="false">IF(ISNUMBER(T21),ROUND(Настройки!$B$5*T21/Настройки!$B$6,0)*Настройки!$B$6,"")</f>
        <v/>
      </c>
      <c r="V21" s="15" t="str">
        <f aca="false">IF(O21="","",IF(NOT(ISNUMBER(S21)),S21,IF(O21="Л",INDEX(Настройки!$D$13:$G$16,3,MIN(R21,4)),INDEX(Настройки!$D$13:$G$16,MATCH(O21,Настройки!$A$13:$A$16,0),MIN(R21,4)))&amp;IF(M21&gt;0," (подходов не меньше 4)","")))</f>
        <v>Новый цикл</v>
      </c>
      <c r="W21" s="6"/>
      <c r="X21" s="6"/>
      <c r="Y21" s="6"/>
      <c r="Z21" s="16" t="str">
        <f aca="false">IF(AND(N(W21)&gt;0,N(X21)&gt;0,N(X21)+N(Y21)&lt;=10),W21*(1+(X21+N(Y21))/30),"")</f>
        <v/>
      </c>
      <c r="AA21" s="17" t="str">
        <f aca="false">IF(Z21="","",Z21/Настройки!$B$5-1)</f>
        <v/>
      </c>
      <c r="AB21" s="17" t="str">
        <f aca="false">IF(AA21="",AB20,AA21)</f>
        <v/>
      </c>
      <c r="AC21" s="15" t="str">
        <f aca="false">IF(C21="","",TRIM(IF(AND(P21=1,COUNTIFS($B$4:$B$27,B21-1,$P$4:$P$27,1)&gt;0),"Две поправки подряд: проверить ПМ или разгрузка. ","")&amp;IF(AA21="","",IF(AND(AA21&gt;Настройки!$B$41,N(AB20)&gt;Настройки!$B$41),"ПМ выше расчёта 2 раза: обновить ПМ. ",IF(AND(AA21&lt;-Настройки!$B$41,N(AB20)&lt;-Настройки!$B$41),"ПМ ниже расчёта 2 раза: проверить ПМ. ","")))))</f>
        <v/>
      </c>
    </row>
    <row r="22" customFormat="false" ht="15" hidden="false" customHeight="false" outlineLevel="0" collapsed="false">
      <c r="A22" s="12"/>
      <c r="B22" s="13" t="str">
        <f aca="false">IF(18&lt;6*IF(Настройки!$B$8="С-Л-Т",3,4),INT(18/IF(Настройки!$B$8="С-Л-Т",3,4))+1,"")</f>
        <v/>
      </c>
      <c r="C22" s="13" t="str">
        <f aca="false">IF(B22="","",IF(Настройки!$B$8="С-Л-Т",CHOOSE(MOD(18,3)+1,"С","Л","Т"),CHOOSE(MOD(18,4)+1,"М","С","Л","Т")))</f>
        <v/>
      </c>
      <c r="D22" s="6"/>
      <c r="E22" s="6"/>
      <c r="F22" s="6"/>
      <c r="G22" s="6"/>
      <c r="H22" s="6"/>
      <c r="I22" s="6"/>
      <c r="J22" s="13" t="str">
        <f aca="false">IF(D22="","",LOOKUP(D22,Настройки!$A$21:$A$24,Настройки!$B$21:$B$24))</f>
        <v/>
      </c>
      <c r="K22" s="14" t="n">
        <f aca="false">IF(OR(D22="",C22=""),0,LOOKUP(D22,Настройки!$A$21:$A$24,INDEX(Настройки!$C$21:$F$24,0,MATCH(C22,Настройки!$A$13:$A$16,0))))</f>
        <v>0</v>
      </c>
      <c r="L22" s="14" t="n">
        <f aca="false">IF(E22="",0,LOOKUP(E22,Настройки!$A$29:$A$33,Настройки!$B$29:$B$33))+IF(F22="",0,LOOKUP(F22,Настройки!$A$29:$A$33,Настройки!$B$29:$B$33))+IF(G22="",0,LOOKUP(G22,Настройки!$A$29:$A$33,Настройки!$B$29:$B$33))</f>
        <v>0</v>
      </c>
      <c r="M22" s="14" t="n">
        <f aca="false">MIN(Настройки!$B$37,K22+L22)</f>
        <v>0</v>
      </c>
      <c r="N22" s="15" t="str">
        <f aca="false">IF(C22="","",IF(H22="да","Пропуск: инфекция",IF(I22="да","К тренеру, не тренироваться",IF(OR(IF(D22="","Нет",LOOKUP(D22,Настройки!$A$21:$A$24,Настройки!$G$21:$G$24))="Только Л",M22&gt;=Настройки!$B$39),"Лёгкий день",IF(AND(C22="Т",OR(IF(D22="","Нет",LOOKUP(D22,Настройки!$A$21:$A$24,Настройки!$G$21:$G$24))="Т на С",M22&gt;=Настройки!$B$38)),"Т на С с низкими %",IF(M22&gt;0,"Снижение","По плану"))))))</f>
        <v/>
      </c>
      <c r="O22" s="13" t="str">
        <f aca="false">IF(C22="","",IF(LEFT(N22,6)="Пропус","",IF(N22="К тренеру, не тренироваться","",IF(N22="Лёгкий день","Л",IF(N22="Т на С с низкими %","С",C22)))))</f>
        <v/>
      </c>
      <c r="P22" s="13" t="n">
        <f aca="false">IF(OR(N22="",N22="По плану"),0,1)</f>
        <v>0</v>
      </c>
      <c r="Q22" s="13" t="n">
        <f aca="false">COUNTIFS($C$4:C21,C22,$P$4:P21,1)</f>
        <v>0</v>
      </c>
      <c r="R22" s="13" t="str">
        <f aca="false">IF(B22="","",MAX(1,B22-Q22))</f>
        <v/>
      </c>
      <c r="S22" s="14" t="str">
        <f aca="false">IF(C22="","",IF(R22&lt;=3,INDEX(Настройки!$B$13:$B$16,MATCH(C22,Настройки!$A$13:$A$16,0))+Настройки!$B$7*(R22-1),IF(R22=4,INDEX(Настройки!$C$13:$C$16,MATCH(C22,Настройки!$A$13:$A$16,0)),"Новый цикл")))</f>
        <v/>
      </c>
      <c r="T22" s="14" t="str">
        <f aca="false">IF(OR(O22="",NOT(ISNUMBER(S22))),"",IF(N22="Т на С с низкими %",(INDEX(Настройки!$B$13:$B$16,2)+Настройки!$B$7*(MIN(R22,3)-1))-Настройки!$B$40,IF(N22="Лёгкий день",MIN(S22,(INDEX(Настройки!$B$13:$B$16,3)+Настройки!$B$7*(MIN(R22,3)-1)))-IF(C22="Л",M22,0),S22-M22)))</f>
        <v/>
      </c>
      <c r="U22" s="16" t="str">
        <f aca="false">IF(ISNUMBER(T22),ROUND(Настройки!$B$5*T22/Настройки!$B$6,0)*Настройки!$B$6,"")</f>
        <v/>
      </c>
      <c r="V22" s="15" t="str">
        <f aca="false">IF(O22="","",IF(NOT(ISNUMBER(S22)),S22,IF(O22="Л",INDEX(Настройки!$D$13:$G$16,3,MIN(R22,4)),INDEX(Настройки!$D$13:$G$16,MATCH(O22,Настройки!$A$13:$A$16,0),MIN(R22,4)))&amp;IF(M22&gt;0," (подходов не меньше 4)","")))</f>
        <v/>
      </c>
      <c r="W22" s="6"/>
      <c r="X22" s="6"/>
      <c r="Y22" s="6"/>
      <c r="Z22" s="16" t="str">
        <f aca="false">IF(AND(N(W22)&gt;0,N(X22)&gt;0,N(X22)+N(Y22)&lt;=10),W22*(1+(X22+N(Y22))/30),"")</f>
        <v/>
      </c>
      <c r="AA22" s="17" t="str">
        <f aca="false">IF(Z22="","",Z22/Настройки!$B$5-1)</f>
        <v/>
      </c>
      <c r="AB22" s="17" t="str">
        <f aca="false">IF(AA22="",AB21,AA22)</f>
        <v/>
      </c>
      <c r="AC22" s="15" t="str">
        <f aca="false">IF(C22="","",TRIM(IF(AND(P22=1,COUNTIFS($B$4:$B$27,B22-1,$P$4:$P$27,1)&gt;0),"Две поправки подряд: проверить ПМ или разгрузка. ","")&amp;IF(AA22="","",IF(AND(AA22&gt;Настройки!$B$41,N(AB21)&gt;Настройки!$B$41),"ПМ выше расчёта 2 раза: обновить ПМ. ",IF(AND(AA22&lt;-Настройки!$B$41,N(AB21)&lt;-Настройки!$B$41),"ПМ ниже расчёта 2 раза: проверить ПМ. ","")))))</f>
        <v/>
      </c>
    </row>
    <row r="23" customFormat="false" ht="15" hidden="false" customHeight="false" outlineLevel="0" collapsed="false">
      <c r="A23" s="12"/>
      <c r="B23" s="13" t="str">
        <f aca="false">IF(19&lt;6*IF(Настройки!$B$8="С-Л-Т",3,4),INT(19/IF(Настройки!$B$8="С-Л-Т",3,4))+1,"")</f>
        <v/>
      </c>
      <c r="C23" s="13" t="str">
        <f aca="false">IF(B23="","",IF(Настройки!$B$8="С-Л-Т",CHOOSE(MOD(19,3)+1,"С","Л","Т"),CHOOSE(MOD(19,4)+1,"М","С","Л","Т")))</f>
        <v/>
      </c>
      <c r="D23" s="6"/>
      <c r="E23" s="6"/>
      <c r="F23" s="6"/>
      <c r="G23" s="6"/>
      <c r="H23" s="6"/>
      <c r="I23" s="6"/>
      <c r="J23" s="13" t="str">
        <f aca="false">IF(D23="","",LOOKUP(D23,Настройки!$A$21:$A$24,Настройки!$B$21:$B$24))</f>
        <v/>
      </c>
      <c r="K23" s="14" t="n">
        <f aca="false">IF(OR(D23="",C23=""),0,LOOKUP(D23,Настройки!$A$21:$A$24,INDEX(Настройки!$C$21:$F$24,0,MATCH(C23,Настройки!$A$13:$A$16,0))))</f>
        <v>0</v>
      </c>
      <c r="L23" s="14" t="n">
        <f aca="false">IF(E23="",0,LOOKUP(E23,Настройки!$A$29:$A$33,Настройки!$B$29:$B$33))+IF(F23="",0,LOOKUP(F23,Настройки!$A$29:$A$33,Настройки!$B$29:$B$33))+IF(G23="",0,LOOKUP(G23,Настройки!$A$29:$A$33,Настройки!$B$29:$B$33))</f>
        <v>0</v>
      </c>
      <c r="M23" s="14" t="n">
        <f aca="false">MIN(Настройки!$B$37,K23+L23)</f>
        <v>0</v>
      </c>
      <c r="N23" s="15" t="str">
        <f aca="false">IF(C23="","",IF(H23="да","Пропуск: инфекция",IF(I23="да","К тренеру, не тренироваться",IF(OR(IF(D23="","Нет",LOOKUP(D23,Настройки!$A$21:$A$24,Настройки!$G$21:$G$24))="Только Л",M23&gt;=Настройки!$B$39),"Лёгкий день",IF(AND(C23="Т",OR(IF(D23="","Нет",LOOKUP(D23,Настройки!$A$21:$A$24,Настройки!$G$21:$G$24))="Т на С",M23&gt;=Настройки!$B$38)),"Т на С с низкими %",IF(M23&gt;0,"Снижение","По плану"))))))</f>
        <v/>
      </c>
      <c r="O23" s="13" t="str">
        <f aca="false">IF(C23="","",IF(LEFT(N23,6)="Пропус","",IF(N23="К тренеру, не тренироваться","",IF(N23="Лёгкий день","Л",IF(N23="Т на С с низкими %","С",C23)))))</f>
        <v/>
      </c>
      <c r="P23" s="13" t="n">
        <f aca="false">IF(OR(N23="",N23="По плану"),0,1)</f>
        <v>0</v>
      </c>
      <c r="Q23" s="13" t="n">
        <f aca="false">COUNTIFS($C$4:C22,C23,$P$4:P22,1)</f>
        <v>0</v>
      </c>
      <c r="R23" s="13" t="str">
        <f aca="false">IF(B23="","",MAX(1,B23-Q23))</f>
        <v/>
      </c>
      <c r="S23" s="14" t="str">
        <f aca="false">IF(C23="","",IF(R23&lt;=3,INDEX(Настройки!$B$13:$B$16,MATCH(C23,Настройки!$A$13:$A$16,0))+Настройки!$B$7*(R23-1),IF(R23=4,INDEX(Настройки!$C$13:$C$16,MATCH(C23,Настройки!$A$13:$A$16,0)),"Новый цикл")))</f>
        <v/>
      </c>
      <c r="T23" s="14" t="str">
        <f aca="false">IF(OR(O23="",NOT(ISNUMBER(S23))),"",IF(N23="Т на С с низкими %",(INDEX(Настройки!$B$13:$B$16,2)+Настройки!$B$7*(MIN(R23,3)-1))-Настройки!$B$40,IF(N23="Лёгкий день",MIN(S23,(INDEX(Настройки!$B$13:$B$16,3)+Настройки!$B$7*(MIN(R23,3)-1)))-IF(C23="Л",M23,0),S23-M23)))</f>
        <v/>
      </c>
      <c r="U23" s="16" t="str">
        <f aca="false">IF(ISNUMBER(T23),ROUND(Настройки!$B$5*T23/Настройки!$B$6,0)*Настройки!$B$6,"")</f>
        <v/>
      </c>
      <c r="V23" s="15" t="str">
        <f aca="false">IF(O23="","",IF(NOT(ISNUMBER(S23)),S23,IF(O23="Л",INDEX(Настройки!$D$13:$G$16,3,MIN(R23,4)),INDEX(Настройки!$D$13:$G$16,MATCH(O23,Настройки!$A$13:$A$16,0),MIN(R23,4)))&amp;IF(M23&gt;0," (подходов не меньше 4)","")))</f>
        <v/>
      </c>
      <c r="W23" s="6"/>
      <c r="X23" s="6"/>
      <c r="Y23" s="6"/>
      <c r="Z23" s="16" t="str">
        <f aca="false">IF(AND(N(W23)&gt;0,N(X23)&gt;0,N(X23)+N(Y23)&lt;=10),W23*(1+(X23+N(Y23))/30),"")</f>
        <v/>
      </c>
      <c r="AA23" s="17" t="str">
        <f aca="false">IF(Z23="","",Z23/Настройки!$B$5-1)</f>
        <v/>
      </c>
      <c r="AB23" s="17" t="str">
        <f aca="false">IF(AA23="",AB22,AA23)</f>
        <v/>
      </c>
      <c r="AC23" s="15" t="str">
        <f aca="false">IF(C23="","",TRIM(IF(AND(P23=1,COUNTIFS($B$4:$B$27,B23-1,$P$4:$P$27,1)&gt;0),"Две поправки подряд: проверить ПМ или разгрузка. ","")&amp;IF(AA23="","",IF(AND(AA23&gt;Настройки!$B$41,N(AB22)&gt;Настройки!$B$41),"ПМ выше расчёта 2 раза: обновить ПМ. ",IF(AND(AA23&lt;-Настройки!$B$41,N(AB22)&lt;-Настройки!$B$41),"ПМ ниже расчёта 2 раза: проверить ПМ. ","")))))</f>
        <v/>
      </c>
    </row>
    <row r="24" customFormat="false" ht="15" hidden="false" customHeight="false" outlineLevel="0" collapsed="false">
      <c r="A24" s="12"/>
      <c r="B24" s="13" t="str">
        <f aca="false">IF(20&lt;6*IF(Настройки!$B$8="С-Л-Т",3,4),INT(20/IF(Настройки!$B$8="С-Л-Т",3,4))+1,"")</f>
        <v/>
      </c>
      <c r="C24" s="13" t="str">
        <f aca="false">IF(B24="","",IF(Настройки!$B$8="С-Л-Т",CHOOSE(MOD(20,3)+1,"С","Л","Т"),CHOOSE(MOD(20,4)+1,"М","С","Л","Т")))</f>
        <v/>
      </c>
      <c r="D24" s="6"/>
      <c r="E24" s="6"/>
      <c r="F24" s="6"/>
      <c r="G24" s="6"/>
      <c r="H24" s="6"/>
      <c r="I24" s="6"/>
      <c r="J24" s="13" t="str">
        <f aca="false">IF(D24="","",LOOKUP(D24,Настройки!$A$21:$A$24,Настройки!$B$21:$B$24))</f>
        <v/>
      </c>
      <c r="K24" s="14" t="n">
        <f aca="false">IF(OR(D24="",C24=""),0,LOOKUP(D24,Настройки!$A$21:$A$24,INDEX(Настройки!$C$21:$F$24,0,MATCH(C24,Настройки!$A$13:$A$16,0))))</f>
        <v>0</v>
      </c>
      <c r="L24" s="14" t="n">
        <f aca="false">IF(E24="",0,LOOKUP(E24,Настройки!$A$29:$A$33,Настройки!$B$29:$B$33))+IF(F24="",0,LOOKUP(F24,Настройки!$A$29:$A$33,Настройки!$B$29:$B$33))+IF(G24="",0,LOOKUP(G24,Настройки!$A$29:$A$33,Настройки!$B$29:$B$33))</f>
        <v>0</v>
      </c>
      <c r="M24" s="14" t="n">
        <f aca="false">MIN(Настройки!$B$37,K24+L24)</f>
        <v>0</v>
      </c>
      <c r="N24" s="15" t="str">
        <f aca="false">IF(C24="","",IF(H24="да","Пропуск: инфекция",IF(I24="да","К тренеру, не тренироваться",IF(OR(IF(D24="","Нет",LOOKUP(D24,Настройки!$A$21:$A$24,Настройки!$G$21:$G$24))="Только Л",M24&gt;=Настройки!$B$39),"Лёгкий день",IF(AND(C24="Т",OR(IF(D24="","Нет",LOOKUP(D24,Настройки!$A$21:$A$24,Настройки!$G$21:$G$24))="Т на С",M24&gt;=Настройки!$B$38)),"Т на С с низкими %",IF(M24&gt;0,"Снижение","По плану"))))))</f>
        <v/>
      </c>
      <c r="O24" s="13" t="str">
        <f aca="false">IF(C24="","",IF(LEFT(N24,6)="Пропус","",IF(N24="К тренеру, не тренироваться","",IF(N24="Лёгкий день","Л",IF(N24="Т на С с низкими %","С",C24)))))</f>
        <v/>
      </c>
      <c r="P24" s="13" t="n">
        <f aca="false">IF(OR(N24="",N24="По плану"),0,1)</f>
        <v>0</v>
      </c>
      <c r="Q24" s="13" t="n">
        <f aca="false">COUNTIFS($C$4:C23,C24,$P$4:P23,1)</f>
        <v>0</v>
      </c>
      <c r="R24" s="13" t="str">
        <f aca="false">IF(B24="","",MAX(1,B24-Q24))</f>
        <v/>
      </c>
      <c r="S24" s="14" t="str">
        <f aca="false">IF(C24="","",IF(R24&lt;=3,INDEX(Настройки!$B$13:$B$16,MATCH(C24,Настройки!$A$13:$A$16,0))+Настройки!$B$7*(R24-1),IF(R24=4,INDEX(Настройки!$C$13:$C$16,MATCH(C24,Настройки!$A$13:$A$16,0)),"Новый цикл")))</f>
        <v/>
      </c>
      <c r="T24" s="14" t="str">
        <f aca="false">IF(OR(O24="",NOT(ISNUMBER(S24))),"",IF(N24="Т на С с низкими %",(INDEX(Настройки!$B$13:$B$16,2)+Настройки!$B$7*(MIN(R24,3)-1))-Настройки!$B$40,IF(N24="Лёгкий день",MIN(S24,(INDEX(Настройки!$B$13:$B$16,3)+Настройки!$B$7*(MIN(R24,3)-1)))-IF(C24="Л",M24,0),S24-M24)))</f>
        <v/>
      </c>
      <c r="U24" s="16" t="str">
        <f aca="false">IF(ISNUMBER(T24),ROUND(Настройки!$B$5*T24/Настройки!$B$6,0)*Настройки!$B$6,"")</f>
        <v/>
      </c>
      <c r="V24" s="15" t="str">
        <f aca="false">IF(O24="","",IF(NOT(ISNUMBER(S24)),S24,IF(O24="Л",INDEX(Настройки!$D$13:$G$16,3,MIN(R24,4)),INDEX(Настройки!$D$13:$G$16,MATCH(O24,Настройки!$A$13:$A$16,0),MIN(R24,4)))&amp;IF(M24&gt;0," (подходов не меньше 4)","")))</f>
        <v/>
      </c>
      <c r="W24" s="6"/>
      <c r="X24" s="6"/>
      <c r="Y24" s="6"/>
      <c r="Z24" s="16" t="str">
        <f aca="false">IF(AND(N(W24)&gt;0,N(X24)&gt;0,N(X24)+N(Y24)&lt;=10),W24*(1+(X24+N(Y24))/30),"")</f>
        <v/>
      </c>
      <c r="AA24" s="17" t="str">
        <f aca="false">IF(Z24="","",Z24/Настройки!$B$5-1)</f>
        <v/>
      </c>
      <c r="AB24" s="17" t="str">
        <f aca="false">IF(AA24="",AB23,AA24)</f>
        <v/>
      </c>
      <c r="AC24" s="15" t="str">
        <f aca="false">IF(C24="","",TRIM(IF(AND(P24=1,COUNTIFS($B$4:$B$27,B24-1,$P$4:$P$27,1)&gt;0),"Две поправки подряд: проверить ПМ или разгрузка. ","")&amp;IF(AA24="","",IF(AND(AA24&gt;Настройки!$B$41,N(AB23)&gt;Настройки!$B$41),"ПМ выше расчёта 2 раза: обновить ПМ. ",IF(AND(AA24&lt;-Настройки!$B$41,N(AB23)&lt;-Настройки!$B$41),"ПМ ниже расчёта 2 раза: проверить ПМ. ","")))))</f>
        <v/>
      </c>
    </row>
    <row r="25" customFormat="false" ht="15" hidden="false" customHeight="false" outlineLevel="0" collapsed="false">
      <c r="A25" s="12"/>
      <c r="B25" s="13" t="str">
        <f aca="false">IF(21&lt;6*IF(Настройки!$B$8="С-Л-Т",3,4),INT(21/IF(Настройки!$B$8="С-Л-Т",3,4))+1,"")</f>
        <v/>
      </c>
      <c r="C25" s="13" t="str">
        <f aca="false">IF(B25="","",IF(Настройки!$B$8="С-Л-Т",CHOOSE(MOD(21,3)+1,"С","Л","Т"),CHOOSE(MOD(21,4)+1,"М","С","Л","Т")))</f>
        <v/>
      </c>
      <c r="D25" s="6"/>
      <c r="E25" s="6"/>
      <c r="F25" s="6"/>
      <c r="G25" s="6"/>
      <c r="H25" s="6"/>
      <c r="I25" s="6"/>
      <c r="J25" s="13" t="str">
        <f aca="false">IF(D25="","",LOOKUP(D25,Настройки!$A$21:$A$24,Настройки!$B$21:$B$24))</f>
        <v/>
      </c>
      <c r="K25" s="14" t="n">
        <f aca="false">IF(OR(D25="",C25=""),0,LOOKUP(D25,Настройки!$A$21:$A$24,INDEX(Настройки!$C$21:$F$24,0,MATCH(C25,Настройки!$A$13:$A$16,0))))</f>
        <v>0</v>
      </c>
      <c r="L25" s="14" t="n">
        <f aca="false">IF(E25="",0,LOOKUP(E25,Настройки!$A$29:$A$33,Настройки!$B$29:$B$33))+IF(F25="",0,LOOKUP(F25,Настройки!$A$29:$A$33,Настройки!$B$29:$B$33))+IF(G25="",0,LOOKUP(G25,Настройки!$A$29:$A$33,Настройки!$B$29:$B$33))</f>
        <v>0</v>
      </c>
      <c r="M25" s="14" t="n">
        <f aca="false">MIN(Настройки!$B$37,K25+L25)</f>
        <v>0</v>
      </c>
      <c r="N25" s="15" t="str">
        <f aca="false">IF(C25="","",IF(H25="да","Пропуск: инфекция",IF(I25="да","К тренеру, не тренироваться",IF(OR(IF(D25="","Нет",LOOKUP(D25,Настройки!$A$21:$A$24,Настройки!$G$21:$G$24))="Только Л",M25&gt;=Настройки!$B$39),"Лёгкий день",IF(AND(C25="Т",OR(IF(D25="","Нет",LOOKUP(D25,Настройки!$A$21:$A$24,Настройки!$G$21:$G$24))="Т на С",M25&gt;=Настройки!$B$38)),"Т на С с низкими %",IF(M25&gt;0,"Снижение","По плану"))))))</f>
        <v/>
      </c>
      <c r="O25" s="13" t="str">
        <f aca="false">IF(C25="","",IF(LEFT(N25,6)="Пропус","",IF(N25="К тренеру, не тренироваться","",IF(N25="Лёгкий день","Л",IF(N25="Т на С с низкими %","С",C25)))))</f>
        <v/>
      </c>
      <c r="P25" s="13" t="n">
        <f aca="false">IF(OR(N25="",N25="По плану"),0,1)</f>
        <v>0</v>
      </c>
      <c r="Q25" s="13" t="n">
        <f aca="false">COUNTIFS($C$4:C24,C25,$P$4:P24,1)</f>
        <v>0</v>
      </c>
      <c r="R25" s="13" t="str">
        <f aca="false">IF(B25="","",MAX(1,B25-Q25))</f>
        <v/>
      </c>
      <c r="S25" s="14" t="str">
        <f aca="false">IF(C25="","",IF(R25&lt;=3,INDEX(Настройки!$B$13:$B$16,MATCH(C25,Настройки!$A$13:$A$16,0))+Настройки!$B$7*(R25-1),IF(R25=4,INDEX(Настройки!$C$13:$C$16,MATCH(C25,Настройки!$A$13:$A$16,0)),"Новый цикл")))</f>
        <v/>
      </c>
      <c r="T25" s="14" t="str">
        <f aca="false">IF(OR(O25="",NOT(ISNUMBER(S25))),"",IF(N25="Т на С с низкими %",(INDEX(Настройки!$B$13:$B$16,2)+Настройки!$B$7*(MIN(R25,3)-1))-Настройки!$B$40,IF(N25="Лёгкий день",MIN(S25,(INDEX(Настройки!$B$13:$B$16,3)+Настройки!$B$7*(MIN(R25,3)-1)))-IF(C25="Л",M25,0),S25-M25)))</f>
        <v/>
      </c>
      <c r="U25" s="16" t="str">
        <f aca="false">IF(ISNUMBER(T25),ROUND(Настройки!$B$5*T25/Настройки!$B$6,0)*Настройки!$B$6,"")</f>
        <v/>
      </c>
      <c r="V25" s="15" t="str">
        <f aca="false">IF(O25="","",IF(NOT(ISNUMBER(S25)),S25,IF(O25="Л",INDEX(Настройки!$D$13:$G$16,3,MIN(R25,4)),INDEX(Настройки!$D$13:$G$16,MATCH(O25,Настройки!$A$13:$A$16,0),MIN(R25,4)))&amp;IF(M25&gt;0," (подходов не меньше 4)","")))</f>
        <v/>
      </c>
      <c r="W25" s="6"/>
      <c r="X25" s="6"/>
      <c r="Y25" s="6"/>
      <c r="Z25" s="16" t="str">
        <f aca="false">IF(AND(N(W25)&gt;0,N(X25)&gt;0,N(X25)+N(Y25)&lt;=10),W25*(1+(X25+N(Y25))/30),"")</f>
        <v/>
      </c>
      <c r="AA25" s="17" t="str">
        <f aca="false">IF(Z25="","",Z25/Настройки!$B$5-1)</f>
        <v/>
      </c>
      <c r="AB25" s="17" t="str">
        <f aca="false">IF(AA25="",AB24,AA25)</f>
        <v/>
      </c>
      <c r="AC25" s="15" t="str">
        <f aca="false">IF(C25="","",TRIM(IF(AND(P25=1,COUNTIFS($B$4:$B$27,B25-1,$P$4:$P$27,1)&gt;0),"Две поправки подряд: проверить ПМ или разгрузка. ","")&amp;IF(AA25="","",IF(AND(AA25&gt;Настройки!$B$41,N(AB24)&gt;Настройки!$B$41),"ПМ выше расчёта 2 раза: обновить ПМ. ",IF(AND(AA25&lt;-Настройки!$B$41,N(AB24)&lt;-Настройки!$B$41),"ПМ ниже расчёта 2 раза: проверить ПМ. ","")))))</f>
        <v/>
      </c>
    </row>
    <row r="26" customFormat="false" ht="15" hidden="false" customHeight="false" outlineLevel="0" collapsed="false">
      <c r="A26" s="12"/>
      <c r="B26" s="13" t="str">
        <f aca="false">IF(22&lt;6*IF(Настройки!$B$8="С-Л-Т",3,4),INT(22/IF(Настройки!$B$8="С-Л-Т",3,4))+1,"")</f>
        <v/>
      </c>
      <c r="C26" s="13" t="str">
        <f aca="false">IF(B26="","",IF(Настройки!$B$8="С-Л-Т",CHOOSE(MOD(22,3)+1,"С","Л","Т"),CHOOSE(MOD(22,4)+1,"М","С","Л","Т")))</f>
        <v/>
      </c>
      <c r="D26" s="6"/>
      <c r="E26" s="6"/>
      <c r="F26" s="6"/>
      <c r="G26" s="6"/>
      <c r="H26" s="6"/>
      <c r="I26" s="6"/>
      <c r="J26" s="13" t="str">
        <f aca="false">IF(D26="","",LOOKUP(D26,Настройки!$A$21:$A$24,Настройки!$B$21:$B$24))</f>
        <v/>
      </c>
      <c r="K26" s="14" t="n">
        <f aca="false">IF(OR(D26="",C26=""),0,LOOKUP(D26,Настройки!$A$21:$A$24,INDEX(Настройки!$C$21:$F$24,0,MATCH(C26,Настройки!$A$13:$A$16,0))))</f>
        <v>0</v>
      </c>
      <c r="L26" s="14" t="n">
        <f aca="false">IF(E26="",0,LOOKUP(E26,Настройки!$A$29:$A$33,Настройки!$B$29:$B$33))+IF(F26="",0,LOOKUP(F26,Настройки!$A$29:$A$33,Настройки!$B$29:$B$33))+IF(G26="",0,LOOKUP(G26,Настройки!$A$29:$A$33,Настройки!$B$29:$B$33))</f>
        <v>0</v>
      </c>
      <c r="M26" s="14" t="n">
        <f aca="false">MIN(Настройки!$B$37,K26+L26)</f>
        <v>0</v>
      </c>
      <c r="N26" s="15" t="str">
        <f aca="false">IF(C26="","",IF(H26="да","Пропуск: инфекция",IF(I26="да","К тренеру, не тренироваться",IF(OR(IF(D26="","Нет",LOOKUP(D26,Настройки!$A$21:$A$24,Настройки!$G$21:$G$24))="Только Л",M26&gt;=Настройки!$B$39),"Лёгкий день",IF(AND(C26="Т",OR(IF(D26="","Нет",LOOKUP(D26,Настройки!$A$21:$A$24,Настройки!$G$21:$G$24))="Т на С",M26&gt;=Настройки!$B$38)),"Т на С с низкими %",IF(M26&gt;0,"Снижение","По плану"))))))</f>
        <v/>
      </c>
      <c r="O26" s="13" t="str">
        <f aca="false">IF(C26="","",IF(LEFT(N26,6)="Пропус","",IF(N26="К тренеру, не тренироваться","",IF(N26="Лёгкий день","Л",IF(N26="Т на С с низкими %","С",C26)))))</f>
        <v/>
      </c>
      <c r="P26" s="13" t="n">
        <f aca="false">IF(OR(N26="",N26="По плану"),0,1)</f>
        <v>0</v>
      </c>
      <c r="Q26" s="13" t="n">
        <f aca="false">COUNTIFS($C$4:C25,C26,$P$4:P25,1)</f>
        <v>0</v>
      </c>
      <c r="R26" s="13" t="str">
        <f aca="false">IF(B26="","",MAX(1,B26-Q26))</f>
        <v/>
      </c>
      <c r="S26" s="14" t="str">
        <f aca="false">IF(C26="","",IF(R26&lt;=3,INDEX(Настройки!$B$13:$B$16,MATCH(C26,Настройки!$A$13:$A$16,0))+Настройки!$B$7*(R26-1),IF(R26=4,INDEX(Настройки!$C$13:$C$16,MATCH(C26,Настройки!$A$13:$A$16,0)),"Новый цикл")))</f>
        <v/>
      </c>
      <c r="T26" s="14" t="str">
        <f aca="false">IF(OR(O26="",NOT(ISNUMBER(S26))),"",IF(N26="Т на С с низкими %",(INDEX(Настройки!$B$13:$B$16,2)+Настройки!$B$7*(MIN(R26,3)-1))-Настройки!$B$40,IF(N26="Лёгкий день",MIN(S26,(INDEX(Настройки!$B$13:$B$16,3)+Настройки!$B$7*(MIN(R26,3)-1)))-IF(C26="Л",M26,0),S26-M26)))</f>
        <v/>
      </c>
      <c r="U26" s="16" t="str">
        <f aca="false">IF(ISNUMBER(T26),ROUND(Настройки!$B$5*T26/Настройки!$B$6,0)*Настройки!$B$6,"")</f>
        <v/>
      </c>
      <c r="V26" s="15" t="str">
        <f aca="false">IF(O26="","",IF(NOT(ISNUMBER(S26)),S26,IF(O26="Л",INDEX(Настройки!$D$13:$G$16,3,MIN(R26,4)),INDEX(Настройки!$D$13:$G$16,MATCH(O26,Настройки!$A$13:$A$16,0),MIN(R26,4)))&amp;IF(M26&gt;0," (подходов не меньше 4)","")))</f>
        <v/>
      </c>
      <c r="W26" s="6"/>
      <c r="X26" s="6"/>
      <c r="Y26" s="6"/>
      <c r="Z26" s="16" t="str">
        <f aca="false">IF(AND(N(W26)&gt;0,N(X26)&gt;0,N(X26)+N(Y26)&lt;=10),W26*(1+(X26+N(Y26))/30),"")</f>
        <v/>
      </c>
      <c r="AA26" s="17" t="str">
        <f aca="false">IF(Z26="","",Z26/Настройки!$B$5-1)</f>
        <v/>
      </c>
      <c r="AB26" s="17" t="str">
        <f aca="false">IF(AA26="",AB25,AA26)</f>
        <v/>
      </c>
      <c r="AC26" s="15" t="str">
        <f aca="false">IF(C26="","",TRIM(IF(AND(P26=1,COUNTIFS($B$4:$B$27,B26-1,$P$4:$P$27,1)&gt;0),"Две поправки подряд: проверить ПМ или разгрузка. ","")&amp;IF(AA26="","",IF(AND(AA26&gt;Настройки!$B$41,N(AB25)&gt;Настройки!$B$41),"ПМ выше расчёта 2 раза: обновить ПМ. ",IF(AND(AA26&lt;-Настройки!$B$41,N(AB25)&lt;-Настройки!$B$41),"ПМ ниже расчёта 2 раза: проверить ПМ. ","")))))</f>
        <v/>
      </c>
    </row>
    <row r="27" customFormat="false" ht="15" hidden="false" customHeight="false" outlineLevel="0" collapsed="false">
      <c r="A27" s="12"/>
      <c r="B27" s="13" t="str">
        <f aca="false">IF(23&lt;6*IF(Настройки!$B$8="С-Л-Т",3,4),INT(23/IF(Настройки!$B$8="С-Л-Т",3,4))+1,"")</f>
        <v/>
      </c>
      <c r="C27" s="13" t="str">
        <f aca="false">IF(B27="","",IF(Настройки!$B$8="С-Л-Т",CHOOSE(MOD(23,3)+1,"С","Л","Т"),CHOOSE(MOD(23,4)+1,"М","С","Л","Т")))</f>
        <v/>
      </c>
      <c r="D27" s="6"/>
      <c r="E27" s="6"/>
      <c r="F27" s="6"/>
      <c r="G27" s="6"/>
      <c r="H27" s="6"/>
      <c r="I27" s="6"/>
      <c r="J27" s="13" t="str">
        <f aca="false">IF(D27="","",LOOKUP(D27,Настройки!$A$21:$A$24,Настройки!$B$21:$B$24))</f>
        <v/>
      </c>
      <c r="K27" s="14" t="n">
        <f aca="false">IF(OR(D27="",C27=""),0,LOOKUP(D27,Настройки!$A$21:$A$24,INDEX(Настройки!$C$21:$F$24,0,MATCH(C27,Настройки!$A$13:$A$16,0))))</f>
        <v>0</v>
      </c>
      <c r="L27" s="14" t="n">
        <f aca="false">IF(E27="",0,LOOKUP(E27,Настройки!$A$29:$A$33,Настройки!$B$29:$B$33))+IF(F27="",0,LOOKUP(F27,Настройки!$A$29:$A$33,Настройки!$B$29:$B$33))+IF(G27="",0,LOOKUP(G27,Настройки!$A$29:$A$33,Настройки!$B$29:$B$33))</f>
        <v>0</v>
      </c>
      <c r="M27" s="14" t="n">
        <f aca="false">MIN(Настройки!$B$37,K27+L27)</f>
        <v>0</v>
      </c>
      <c r="N27" s="15" t="str">
        <f aca="false">IF(C27="","",IF(H27="да","Пропуск: инфекция",IF(I27="да","К тренеру, не тренироваться",IF(OR(IF(D27="","Нет",LOOKUP(D27,Настройки!$A$21:$A$24,Настройки!$G$21:$G$24))="Только Л",M27&gt;=Настройки!$B$39),"Лёгкий день",IF(AND(C27="Т",OR(IF(D27="","Нет",LOOKUP(D27,Настройки!$A$21:$A$24,Настройки!$G$21:$G$24))="Т на С",M27&gt;=Настройки!$B$38)),"Т на С с низкими %",IF(M27&gt;0,"Снижение","По плану"))))))</f>
        <v/>
      </c>
      <c r="O27" s="13" t="str">
        <f aca="false">IF(C27="","",IF(LEFT(N27,6)="Пропус","",IF(N27="К тренеру, не тренироваться","",IF(N27="Лёгкий день","Л",IF(N27="Т на С с низкими %","С",C27)))))</f>
        <v/>
      </c>
      <c r="P27" s="13" t="n">
        <f aca="false">IF(OR(N27="",N27="По плану"),0,1)</f>
        <v>0</v>
      </c>
      <c r="Q27" s="13" t="n">
        <f aca="false">COUNTIFS($C$4:C26,C27,$P$4:P26,1)</f>
        <v>0</v>
      </c>
      <c r="R27" s="13" t="str">
        <f aca="false">IF(B27="","",MAX(1,B27-Q27))</f>
        <v/>
      </c>
      <c r="S27" s="14" t="str">
        <f aca="false">IF(C27="","",IF(R27&lt;=3,INDEX(Настройки!$B$13:$B$16,MATCH(C27,Настройки!$A$13:$A$16,0))+Настройки!$B$7*(R27-1),IF(R27=4,INDEX(Настройки!$C$13:$C$16,MATCH(C27,Настройки!$A$13:$A$16,0)),"Новый цикл")))</f>
        <v/>
      </c>
      <c r="T27" s="14" t="str">
        <f aca="false">IF(OR(O27="",NOT(ISNUMBER(S27))),"",IF(N27="Т на С с низкими %",(INDEX(Настройки!$B$13:$B$16,2)+Настройки!$B$7*(MIN(R27,3)-1))-Настройки!$B$40,IF(N27="Лёгкий день",MIN(S27,(INDEX(Настройки!$B$13:$B$16,3)+Настройки!$B$7*(MIN(R27,3)-1)))-IF(C27="Л",M27,0),S27-M27)))</f>
        <v/>
      </c>
      <c r="U27" s="16" t="str">
        <f aca="false">IF(ISNUMBER(T27),ROUND(Настройки!$B$5*T27/Настройки!$B$6,0)*Настройки!$B$6,"")</f>
        <v/>
      </c>
      <c r="V27" s="15" t="str">
        <f aca="false">IF(O27="","",IF(NOT(ISNUMBER(S27)),S27,IF(O27="Л",INDEX(Настройки!$D$13:$G$16,3,MIN(R27,4)),INDEX(Настройки!$D$13:$G$16,MATCH(O27,Настройки!$A$13:$A$16,0),MIN(R27,4)))&amp;IF(M27&gt;0," (подходов не меньше 4)","")))</f>
        <v/>
      </c>
      <c r="W27" s="6"/>
      <c r="X27" s="6"/>
      <c r="Y27" s="6"/>
      <c r="Z27" s="16" t="str">
        <f aca="false">IF(AND(N(W27)&gt;0,N(X27)&gt;0,N(X27)+N(Y27)&lt;=10),W27*(1+(X27+N(Y27))/30),"")</f>
        <v/>
      </c>
      <c r="AA27" s="17" t="str">
        <f aca="false">IF(Z27="","",Z27/Настройки!$B$5-1)</f>
        <v/>
      </c>
      <c r="AB27" s="17" t="str">
        <f aca="false">IF(AA27="",AB26,AA27)</f>
        <v/>
      </c>
      <c r="AC27" s="15" t="str">
        <f aca="false">IF(C27="","",TRIM(IF(AND(P27=1,COUNTIFS($B$4:$B$27,B27-1,$P$4:$P$27,1)&gt;0),"Две поправки подряд: проверить ПМ или разгрузка. ","")&amp;IF(AA27="","",IF(AND(AA27&gt;Настройки!$B$41,N(AB26)&gt;Настройки!$B$41),"ПМ выше расчёта 2 раза: обновить ПМ. ",IF(AND(AA27&lt;-Настройки!$B$41,N(AB26)&lt;-Настройки!$B$41),"ПМ ниже расчёта 2 раза: проверить ПМ. ","")))))</f>
        <v/>
      </c>
    </row>
  </sheetData>
  <conditionalFormatting sqref="N4:N27">
    <cfRule type="expression" priority="2" aboveAverage="0" equalAverage="0" bottom="0" percent="0" rank="0" text="" dxfId="0">
      <formula>OR(LEFT(N4,6)="Пропус",LEFT(N4,7)="К трене")</formula>
    </cfRule>
    <cfRule type="expression" priority="3" aboveAverage="0" equalAverage="0" bottom="0" percent="0" rank="0" text="" dxfId="1">
      <formula>OR(N4="Снижение",N4="Т на С с низкими %",N4="Лёгкий день")</formula>
    </cfRule>
  </conditionalFormatting>
  <dataValidations count="2">
    <dataValidation allowBlank="true" errorStyle="stop" operator="between" showDropDown="false" showErrorMessage="false" showInputMessage="false" sqref="H4:I27" type="list">
      <formula1>"да,нет"</formula1>
      <formula2>0</formula2>
    </dataValidation>
    <dataValidation allowBlank="true" errorStyle="stop" operator="between" showDropDown="false" showErrorMessage="false" showInputMessage="false" sqref="E4:G27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2026-10-28T08:15:07Z</dcterms:created>
  <dc:creator>openpyxl</dc:creator>
  <dc:description/>
  <dc:language>en-US</dc:language>
  <cp:lastModifiedBy/>
  <dcterms:modified xsi:type="dcterms:W3CDTF">2026-10-28T08:15:07Z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